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Insights" sheetId="3" state="visible" r:id="rId3"/>
    <sheet name="Gráficos" sheetId="4" state="visible" r:id="rId4"/>
    <sheet name="Efici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66666"/>
      <sz val="9"/>
    </font>
    <font>
      <name val="Calibri"/>
      <color rgb="00000000"/>
      <sz val="10"/>
    </font>
    <font>
      <name val="Calibri"/>
      <color rgb="00CA6F1E"/>
      <sz val="10"/>
    </font>
    <font>
      <name val="Calibri"/>
      <color rgb="00C0392B"/>
      <sz val="10"/>
    </font>
    <font>
      <name val="Calibri"/>
      <color rgb="001E8449"/>
      <sz val="10"/>
    </font>
    <font>
      <name val="Calibri"/>
      <b val="1"/>
      <color rgb="00CA6F1E"/>
      <sz val="10"/>
    </font>
    <font>
      <name val="Calibri"/>
      <b val="1"/>
      <color rgb="00C0392B"/>
      <sz val="10"/>
    </font>
    <font>
      <name val="Calibri"/>
      <b val="1"/>
      <color rgb="001E8449"/>
      <sz val="10"/>
    </font>
    <font>
      <name val="Calibri"/>
      <color rgb="00F4D03F"/>
      <sz val="9"/>
    </font>
    <font>
      <name val="Calibri"/>
      <b val="1"/>
      <color rgb="00F4D03F"/>
      <sz val="11"/>
    </font>
    <font>
      <name val="Calibri"/>
      <color rgb="00888888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color rgb="00555555"/>
      <sz val="9"/>
    </font>
    <font>
      <name val="Calibri"/>
      <b val="1"/>
      <color rgb="00CA6F1E"/>
      <sz val="18"/>
    </font>
    <font>
      <name val="Calibri"/>
      <b val="1"/>
      <color rgb="002E86C1"/>
      <sz val="18"/>
    </font>
    <font>
      <name val="Calibri"/>
      <b val="1"/>
      <color rgb="00C0392B"/>
      <sz val="18"/>
    </font>
    <font>
      <name val="Calibri"/>
      <b val="1"/>
      <color rgb="001E8449"/>
      <sz val="18"/>
    </font>
    <font>
      <name val="Calibri"/>
      <b val="1"/>
      <color rgb="002E86C1"/>
      <sz val="10"/>
    </font>
    <font>
      <name val="Calibri"/>
      <b val="1"/>
      <color rgb="00333333"/>
      <sz val="10"/>
    </font>
    <font>
      <name val="Calibri"/>
      <b val="1"/>
      <color rgb="000D2137"/>
      <sz val="10"/>
    </font>
    <font>
      <name val="Calibri"/>
      <i val="1"/>
      <color rgb="00000000"/>
      <sz val="10"/>
    </font>
    <font>
      <name val="Calibri"/>
      <b val="1"/>
      <color rgb="00FFFFFF"/>
      <sz val="9"/>
    </font>
    <font>
      <name val="Calibri"/>
      <i val="1"/>
      <color rgb="00FFFFFF"/>
      <sz val="8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D2137"/>
      <sz val="12"/>
    </font>
    <font>
      <name val="Calibri"/>
      <b val="1"/>
      <color rgb="001E8449"/>
      <sz val="11"/>
    </font>
    <font>
      <name val="Calibri"/>
      <b val="1"/>
      <color rgb="00CA6F1E"/>
      <sz val="11"/>
    </font>
    <font>
      <name val="Calibri"/>
      <b val="1"/>
      <color rgb="00C0392B"/>
      <sz val="11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4A7A"/>
      </patternFill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166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left" vertical="center" wrapText="1"/>
    </xf>
    <xf numFmtId="165" fontId="19" fillId="6" borderId="0" applyAlignment="1" pivotButton="0" quotePrefix="0" xfId="0">
      <alignment horizontal="center" vertical="center" wrapText="1"/>
    </xf>
    <xf numFmtId="165" fontId="21" fillId="6" borderId="0" applyAlignment="1" pivotButton="0" quotePrefix="0" xfId="0">
      <alignment horizontal="center" vertical="center" wrapText="1"/>
    </xf>
    <xf numFmtId="165" fontId="22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2" fontId="20" fillId="6" borderId="0" applyAlignment="1" pivotButton="0" quotePrefix="0" xfId="0">
      <alignment horizontal="center" vertical="center" wrapText="1"/>
    </xf>
    <xf numFmtId="165" fontId="20" fillId="6" borderId="0" applyAlignment="1" pivotButton="0" quotePrefix="0" xfId="0">
      <alignment horizontal="center" vertical="center" wrapText="1"/>
    </xf>
    <xf numFmtId="164" fontId="20" fillId="6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8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26" fillId="9" borderId="0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26" fillId="10" borderId="0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28" fillId="3" borderId="0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left" vertical="center" wrapText="1"/>
    </xf>
    <xf numFmtId="166" fontId="31" fillId="6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left" vertical="center" wrapText="1"/>
    </xf>
    <xf numFmtId="166" fontId="31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left" vertical="center" wrapText="1"/>
    </xf>
    <xf numFmtId="166" fontId="31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Abandono por Escenario (CR)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'Gráficos'!B3</f>
            </strRef>
          </tx>
          <spPr>
            <a:solidFill>
              <a:srgbClr val="2E86C1"/>
            </a:solidFill>
            <a:ln>
              <a:prstDash val="solid"/>
            </a:ln>
          </spPr>
          <cat>
            <numRef>
              <f>'Gráficos'!$A$4:$A$6</f>
            </numRef>
          </cat>
          <val>
            <numRef>
              <f>'Gráficos'!$B$4:$B$6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abandono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Espera Promedio CR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'Gráficos'!C3</f>
            </strRef>
          </tx>
          <spPr>
            <a:solidFill>
              <a:srgbClr val="2E86C1"/>
            </a:solidFill>
            <a:ln>
              <a:prstDash val="solid"/>
            </a:ln>
          </spPr>
          <cat>
            <numRef>
              <f>'Gráficos'!$A$4:$A$6</f>
            </numRef>
          </cat>
          <val>
            <numRef>
              <f>'Gráficos'!$C$4:$C$6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Ociosidad Promedio CR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'Gráficos'!D3</f>
            </strRef>
          </tx>
          <spPr>
            <a:solidFill>
              <a:srgbClr val="117A65"/>
            </a:solidFill>
            <a:ln>
              <a:prstDash val="solid"/>
            </a:ln>
          </spPr>
          <cat>
            <numRef>
              <f>'Gráficos'!$A$4:$A$6</f>
            </numRef>
          </cat>
          <val>
            <numRef>
              <f>'Gráficos'!$D$4:$D$6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Ociosidad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de Eficiencia (↓ mejor)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'Eficiencia'!B10</f>
            </strRef>
          </tx>
          <spPr>
            <a:solidFill>
              <a:srgbClr val="2E86C1"/>
            </a:solidFill>
            <a:ln>
              <a:prstDash val="solid"/>
            </a:ln>
          </spPr>
          <cat>
            <numRef>
              <f>'Eficiencia'!$A$11:$A$13</f>
            </numRef>
          </cat>
          <val>
            <numRef>
              <f>'Eficiencia'!$B$11:$B$13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9" max="9"/>
    <col width="2" customWidth="1" min="10" max="10"/>
  </cols>
  <sheetData>
    <row r="1" ht="36" customHeight="1">
      <c r="A1" s="1" t="inlineStr">
        <is>
          <t>ANÁLISIS DE SENSIBILIDAD — ESTACIÓN DE CARGA VE</t>
        </is>
      </c>
    </row>
    <row r="2" ht="18" customHeight="1">
      <c r="A2" s="2" t="inlineStr">
        <is>
          <t xml:space="preserve">  100 réplicas  ·  43200 min c/u  ·  Seed: aleatorio  ·  Generado: 28/04/2026 16:16</t>
        </is>
      </c>
    </row>
    <row r="3" ht="4" customHeight="1">
      <c r="A3" s="3" t="n"/>
    </row>
    <row r="4" ht="38" customHeight="1">
      <c r="A4" s="4" t="inlineStr">
        <is>
          <t>Métrica</t>
        </is>
      </c>
      <c r="B4" s="4" t="inlineStr">
        <is>
          <t>Unidad</t>
        </is>
      </c>
      <c r="C4" s="4" t="inlineStr">
        <is>
          <t>Real
CR</t>
        </is>
      </c>
      <c r="D4" s="4" t="inlineStr">
        <is>
          <t>Real
CSR</t>
        </is>
      </c>
      <c r="E4" s="4" t="inlineStr">
        <is>
          <t>Eficiente
CR</t>
        </is>
      </c>
      <c r="F4" s="4" t="inlineStr">
        <is>
          <t>Eficiente
CSR</t>
        </is>
      </c>
      <c r="G4" s="4" t="inlineStr">
        <is>
          <t>No efic.
CR</t>
        </is>
      </c>
      <c r="H4" s="4" t="inlineStr">
        <is>
          <t>No efic.
CSR</t>
        </is>
      </c>
    </row>
    <row r="5" ht="20" customHeight="1">
      <c r="A5" s="5" t="inlineStr">
        <is>
          <t>N° Cargadores</t>
        </is>
      </c>
      <c r="B5" s="6" t="inlineStr">
        <is>
          <t>#</t>
        </is>
      </c>
      <c r="C5" s="7" t="n">
        <v>1</v>
      </c>
      <c r="D5" s="7" t="n">
        <v>1</v>
      </c>
      <c r="E5" s="7" t="n">
        <v>1</v>
      </c>
      <c r="F5" s="7" t="inlineStr">
        <is>
          <t>–</t>
        </is>
      </c>
      <c r="G5" s="7" t="n">
        <v>2</v>
      </c>
      <c r="H5" s="7" t="n">
        <v>2</v>
      </c>
    </row>
    <row r="6" ht="20" customHeight="1">
      <c r="A6" s="8" t="inlineStr">
        <is>
          <t>Llegadas promedio</t>
        </is>
      </c>
      <c r="B6" s="9" t="inlineStr">
        <is>
          <t>#</t>
        </is>
      </c>
      <c r="C6" s="10" t="n">
        <v>890.36</v>
      </c>
      <c r="D6" s="10" t="n">
        <v>310.28</v>
      </c>
      <c r="E6" s="10" t="n">
        <v>1202.71</v>
      </c>
      <c r="F6" s="11" t="inlineStr">
        <is>
          <t>–</t>
        </is>
      </c>
      <c r="G6" s="10" t="n">
        <v>887.34</v>
      </c>
      <c r="H6" s="10" t="n">
        <v>311.66</v>
      </c>
    </row>
    <row r="7" ht="20" customHeight="1">
      <c r="A7" s="5" t="inlineStr">
        <is>
          <t>Atendidos promedio</t>
        </is>
      </c>
      <c r="B7" s="6" t="inlineStr">
        <is>
          <t>#</t>
        </is>
      </c>
      <c r="C7" s="12" t="n">
        <v>773.96</v>
      </c>
      <c r="D7" s="12" t="n">
        <v>249.78</v>
      </c>
      <c r="E7" s="12" t="n">
        <v>960.48</v>
      </c>
      <c r="F7" s="7" t="inlineStr">
        <is>
          <t>–</t>
        </is>
      </c>
      <c r="G7" s="12" t="n">
        <v>882.8</v>
      </c>
      <c r="H7" s="12" t="n">
        <v>304.94</v>
      </c>
    </row>
    <row r="8" ht="20" customHeight="1">
      <c r="A8" s="8" t="inlineStr">
        <is>
          <t>Arrepentidos prom.</t>
        </is>
      </c>
      <c r="B8" s="9" t="inlineStr">
        <is>
          <t>#</t>
        </is>
      </c>
      <c r="C8" s="10" t="n">
        <v>116.4</v>
      </c>
      <c r="D8" s="10" t="n">
        <v>60.5</v>
      </c>
      <c r="E8" s="10" t="n">
        <v>242.23</v>
      </c>
      <c r="F8" s="11" t="inlineStr">
        <is>
          <t>–</t>
        </is>
      </c>
      <c r="G8" s="10" t="n">
        <v>4.54</v>
      </c>
      <c r="H8" s="10" t="n">
        <v>6.72</v>
      </c>
    </row>
    <row r="9" ht="20" customHeight="1">
      <c r="A9" s="5" t="inlineStr">
        <is>
          <t>% Abandono</t>
        </is>
      </c>
      <c r="B9" s="6" t="inlineStr">
        <is>
          <t>%</t>
        </is>
      </c>
      <c r="C9" s="13" t="n">
        <v>0.1305903779074988</v>
      </c>
      <c r="D9" s="13" t="n">
        <v>0.1945252402134508</v>
      </c>
      <c r="E9" s="14" t="n">
        <v>0.2012924677053878</v>
      </c>
      <c r="F9" s="7" t="inlineStr">
        <is>
          <t>–</t>
        </is>
      </c>
      <c r="G9" s="15" t="n">
        <v>0.005102422455934052</v>
      </c>
      <c r="H9" s="15" t="n">
        <v>0.02146389462993271</v>
      </c>
    </row>
    <row r="10" ht="20" customHeight="1">
      <c r="A10" s="8" t="inlineStr">
        <is>
          <t>Espera promedio</t>
        </is>
      </c>
      <c r="B10" s="9" t="inlineStr">
        <is>
          <t>min</t>
        </is>
      </c>
      <c r="C10" s="16" t="n">
        <v>6.723103590118701</v>
      </c>
      <c r="D10" s="16" t="n">
        <v>10.06956692321773</v>
      </c>
      <c r="E10" s="16" t="n">
        <v>10.56808631075325</v>
      </c>
      <c r="F10" s="11" t="inlineStr">
        <is>
          <t>–</t>
        </is>
      </c>
      <c r="G10" s="16" t="n">
        <v>0.362153191219949</v>
      </c>
      <c r="H10" s="16" t="n">
        <v>0.8817627410142286</v>
      </c>
    </row>
    <row r="11" ht="20" customHeight="1">
      <c r="A11" s="5" t="inlineStr">
        <is>
          <t>Tiempo en sistema</t>
        </is>
      </c>
      <c r="B11" s="6" t="inlineStr">
        <is>
          <t>min</t>
        </is>
      </c>
      <c r="C11" s="17" t="n">
        <v>42.44198717348761</v>
      </c>
      <c r="D11" s="17" t="n">
        <v>91.09072609553201</v>
      </c>
      <c r="E11" s="17" t="n">
        <v>46.66642213672038</v>
      </c>
      <c r="F11" s="7" t="inlineStr">
        <is>
          <t>–</t>
        </is>
      </c>
      <c r="G11" s="17" t="n">
        <v>35.43044686499417</v>
      </c>
      <c r="H11" s="17" t="n">
        <v>80.57939164804974</v>
      </c>
    </row>
    <row r="12" ht="20" customHeight="1">
      <c r="A12" s="8" t="inlineStr">
        <is>
          <t>Ociosidad cargadores</t>
        </is>
      </c>
      <c r="B12" s="9" t="inlineStr">
        <is>
          <t>%</t>
        </is>
      </c>
      <c r="C12" s="18" t="n">
        <v>0.3603615649540284</v>
      </c>
      <c r="D12" s="18" t="n">
        <v>0.5318789455758461</v>
      </c>
      <c r="E12" s="18" t="n">
        <v>0.197877863479211</v>
      </c>
      <c r="F12" s="11" t="inlineStr">
        <is>
          <t>–</t>
        </is>
      </c>
      <c r="G12" s="18" t="n">
        <v>0.6417266500063495</v>
      </c>
      <c r="H12" s="18" t="n">
        <v>0.7188206690342753</v>
      </c>
    </row>
    <row r="13" ht="20" customHeight="1">
      <c r="A13" s="19" t="inlineStr">
        <is>
          <t>Abandono total</t>
        </is>
      </c>
      <c r="B13" s="20" t="inlineStr">
        <is>
          <t>%</t>
        </is>
      </c>
      <c r="C13" s="21" t="n">
        <v>0.1473380863539446</v>
      </c>
      <c r="D13" s="21" t="n">
        <v>0.1473380863539446</v>
      </c>
      <c r="E13" s="22" t="n">
        <v>0.2014034971023771</v>
      </c>
      <c r="F13" s="22" t="n">
        <v>0.2014034971023771</v>
      </c>
      <c r="G13" s="23" t="n">
        <v>0.009391159299416181</v>
      </c>
      <c r="H13" s="23" t="n">
        <v>0.009391159299416181</v>
      </c>
    </row>
    <row r="14" ht="22" customHeight="1">
      <c r="A14" s="24" t="inlineStr">
        <is>
          <t>Eficiencia global (↓ mejor)</t>
        </is>
      </c>
      <c r="B14" s="25" t="inlineStr">
        <is>
          <t>score</t>
        </is>
      </c>
      <c r="C14" s="26" t="n">
        <v>-21.66272822547933</v>
      </c>
      <c r="D14" s="27" t="inlineStr">
        <is>
          <t>—</t>
        </is>
      </c>
      <c r="E14" s="26" t="n">
        <v>-9.393893173960548</v>
      </c>
      <c r="F14" s="27" t="inlineStr">
        <is>
          <t>—</t>
        </is>
      </c>
      <c r="G14" s="26" t="n">
        <v>-33.03712892316468</v>
      </c>
      <c r="H14" s="27" t="inlineStr">
        <is>
          <t>—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28" t="inlineStr">
        <is>
          <t>PANEL DE KPIs POR ESCENARIO</t>
        </is>
      </c>
    </row>
    <row r="2" ht="16" customHeight="1">
      <c r="A2" s="29" t="inlineStr">
        <is>
          <t>Comparación rápida entre escenarios simulados</t>
        </is>
      </c>
    </row>
    <row r="4" ht="26" customHeight="1">
      <c r="A4" s="30" t="inlineStr">
        <is>
          <t>Real</t>
        </is>
      </c>
      <c r="C4" s="30" t="inlineStr">
        <is>
          <t>Eficiente</t>
        </is>
      </c>
      <c r="E4" s="30" t="inlineStr">
        <is>
          <t>No eficiente</t>
        </is>
      </c>
    </row>
    <row r="5" ht="16" customHeight="1">
      <c r="A5" s="31" t="inlineStr">
        <is>
          <t>Abandono total</t>
        </is>
      </c>
      <c r="C5" s="31" t="inlineStr">
        <is>
          <t>Abandono total</t>
        </is>
      </c>
      <c r="E5" s="31" t="inlineStr">
        <is>
          <t>Abandono total</t>
        </is>
      </c>
    </row>
    <row r="6" ht="30" customHeight="1">
      <c r="A6" s="32" t="n">
        <v>0.1305903779074988</v>
      </c>
      <c r="C6" s="33" t="n">
        <v>0.2012924677053878</v>
      </c>
      <c r="E6" s="34" t="n">
        <v>0.005102422455934052</v>
      </c>
    </row>
    <row r="7" ht="5" customHeight="1">
      <c r="A7" s="35" t="n"/>
      <c r="B7" s="35" t="n"/>
      <c r="C7" s="35" t="n"/>
      <c r="D7" s="35" t="n"/>
      <c r="E7" s="35" t="n"/>
      <c r="F7" s="35" t="n"/>
    </row>
    <row r="8" ht="16" customHeight="1">
      <c r="A8" s="31" t="inlineStr">
        <is>
          <t>Espera prom. CR</t>
        </is>
      </c>
      <c r="C8" s="31" t="inlineStr">
        <is>
          <t>Espera prom. CR</t>
        </is>
      </c>
      <c r="E8" s="31" t="inlineStr">
        <is>
          <t>Espera prom. CR</t>
        </is>
      </c>
    </row>
    <row r="9" ht="30" customHeight="1">
      <c r="A9" s="36" t="n">
        <v>6.723103590118701</v>
      </c>
      <c r="C9" s="36" t="n">
        <v>10.56808631075325</v>
      </c>
      <c r="E9" s="36" t="n">
        <v>0.362153191219949</v>
      </c>
    </row>
    <row r="10" ht="5" customHeight="1">
      <c r="A10" s="35" t="n"/>
      <c r="B10" s="35" t="n"/>
      <c r="C10" s="35" t="n"/>
      <c r="D10" s="35" t="n"/>
      <c r="E10" s="35" t="n"/>
      <c r="F10" s="35" t="n"/>
    </row>
    <row r="11" ht="16" customHeight="1">
      <c r="A11" s="31" t="inlineStr">
        <is>
          <t>Ociosidad CR</t>
        </is>
      </c>
      <c r="C11" s="31" t="inlineStr">
        <is>
          <t>Ociosidad CR</t>
        </is>
      </c>
      <c r="E11" s="31" t="inlineStr">
        <is>
          <t>Ociosidad CR</t>
        </is>
      </c>
    </row>
    <row r="12" ht="30" customHeight="1">
      <c r="A12" s="37" t="n">
        <v>0.3603615649540284</v>
      </c>
      <c r="C12" s="37" t="n">
        <v>0.197877863479211</v>
      </c>
      <c r="E12" s="37" t="n">
        <v>0.6417266500063495</v>
      </c>
    </row>
    <row r="13" ht="5" customHeight="1">
      <c r="A13" s="35" t="n"/>
      <c r="B13" s="35" t="n"/>
      <c r="C13" s="35" t="n"/>
      <c r="D13" s="35" t="n"/>
      <c r="E13" s="35" t="n"/>
      <c r="F13" s="35" t="n"/>
    </row>
    <row r="14" ht="16" customHeight="1">
      <c r="A14" s="31" t="inlineStr">
        <is>
          <t>Atendidos CR</t>
        </is>
      </c>
      <c r="C14" s="31" t="inlineStr">
        <is>
          <t>Atendidos CR</t>
        </is>
      </c>
      <c r="E14" s="31" t="inlineStr">
        <is>
          <t>Atendidos CR</t>
        </is>
      </c>
    </row>
    <row r="15" ht="30" customHeight="1">
      <c r="A15" s="38" t="n">
        <v>773.96</v>
      </c>
      <c r="C15" s="38" t="n">
        <v>960.48</v>
      </c>
      <c r="E15" s="38" t="n">
        <v>882.8</v>
      </c>
    </row>
    <row r="16" ht="5" customHeight="1">
      <c r="A16" s="35" t="n"/>
      <c r="B16" s="35" t="n"/>
      <c r="C16" s="35" t="n"/>
      <c r="D16" s="35" t="n"/>
      <c r="E16" s="35" t="n"/>
      <c r="F16" s="35" t="n"/>
    </row>
  </sheetData>
  <mergeCells count="29">
    <mergeCell ref="E12:F12"/>
    <mergeCell ref="C6:D6"/>
    <mergeCell ref="A15:B15"/>
    <mergeCell ref="C15:D15"/>
    <mergeCell ref="A11:B11"/>
    <mergeCell ref="C5:D5"/>
    <mergeCell ref="E5:F5"/>
    <mergeCell ref="C14:D14"/>
    <mergeCell ref="E14:F14"/>
    <mergeCell ref="A6:B6"/>
    <mergeCell ref="E8:F8"/>
    <mergeCell ref="C4:D4"/>
    <mergeCell ref="A2:F2"/>
    <mergeCell ref="E4:F4"/>
    <mergeCell ref="C9:D9"/>
    <mergeCell ref="E9:F9"/>
    <mergeCell ref="A12:B12"/>
    <mergeCell ref="C12:D12"/>
    <mergeCell ref="E6:F6"/>
    <mergeCell ref="E15:F15"/>
    <mergeCell ref="C11:D11"/>
    <mergeCell ref="E11:F11"/>
    <mergeCell ref="A5:B5"/>
    <mergeCell ref="A14:B14"/>
    <mergeCell ref="A8:B8"/>
    <mergeCell ref="C8:D8"/>
    <mergeCell ref="A4:B4"/>
    <mergeCell ref="A1:F1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28" t="inlineStr">
        <is>
          <t>INSIGHTS AUTOMÁTICOS</t>
        </is>
      </c>
    </row>
    <row r="3" ht="24" customHeight="1">
      <c r="A3" s="39" t="inlineStr">
        <is>
          <t>📊  Escenario: Real</t>
        </is>
      </c>
    </row>
    <row r="4" ht="18" customHeight="1">
      <c r="A4" s="5" t="inlineStr">
        <is>
          <t>Abandono total:</t>
        </is>
      </c>
      <c r="B4" s="40" t="inlineStr">
        <is>
          <t>14.7%</t>
        </is>
      </c>
    </row>
    <row r="5" ht="18" customHeight="1">
      <c r="A5" s="5" t="inlineStr">
        <is>
          <t>Atendidos CR / CSR:</t>
        </is>
      </c>
      <c r="B5" s="41" t="inlineStr">
        <is>
          <t>774 / 250</t>
        </is>
      </c>
    </row>
    <row r="6" ht="18" customHeight="1">
      <c r="A6" s="5" t="inlineStr">
        <is>
          <t>Espera prom. CR:</t>
        </is>
      </c>
      <c r="B6" s="42" t="inlineStr">
        <is>
          <t>6.7 min</t>
        </is>
      </c>
    </row>
    <row r="7" ht="18" customHeight="1">
      <c r="A7" s="5" t="inlineStr">
        <is>
          <t>Espera prom. CSR:</t>
        </is>
      </c>
      <c r="B7" s="42" t="inlineStr">
        <is>
          <t>10.1 min</t>
        </is>
      </c>
    </row>
    <row r="8" ht="18" customHeight="1">
      <c r="A8" s="5" t="inlineStr">
        <is>
          <t>Eficiencia global:</t>
        </is>
      </c>
      <c r="B8" s="43" t="inlineStr">
        <is>
          <t>-21.663</t>
        </is>
      </c>
    </row>
    <row r="9" ht="20" customHeight="1">
      <c r="A9" s="44" t="inlineStr">
        <is>
          <t>⚡  Pérdida moderada — monitorear horas pico.</t>
        </is>
      </c>
    </row>
    <row r="11" ht="24" customHeight="1">
      <c r="A11" s="39" t="inlineStr">
        <is>
          <t>📊  Escenario: Eficiente</t>
        </is>
      </c>
    </row>
    <row r="12" ht="18" customHeight="1">
      <c r="A12" s="5" t="inlineStr">
        <is>
          <t>Abandono total:</t>
        </is>
      </c>
      <c r="B12" s="45" t="inlineStr">
        <is>
          <t>20.1%</t>
        </is>
      </c>
    </row>
    <row r="13" ht="18" customHeight="1">
      <c r="A13" s="5" t="inlineStr">
        <is>
          <t>Atendidos CR / CSR:</t>
        </is>
      </c>
      <c r="B13" s="41" t="inlineStr">
        <is>
          <t>960 / 0</t>
        </is>
      </c>
    </row>
    <row r="14" ht="18" customHeight="1">
      <c r="A14" s="5" t="inlineStr">
        <is>
          <t>Espera prom. CR:</t>
        </is>
      </c>
      <c r="B14" s="42" t="inlineStr">
        <is>
          <t>10.6 min</t>
        </is>
      </c>
    </row>
    <row r="15" ht="18" customHeight="1">
      <c r="A15" s="5" t="inlineStr">
        <is>
          <t>Espera prom. CSR:</t>
        </is>
      </c>
      <c r="B15" s="42" t="inlineStr">
        <is>
          <t>0.0 min</t>
        </is>
      </c>
    </row>
    <row r="16" ht="18" customHeight="1">
      <c r="A16" s="5" t="inlineStr">
        <is>
          <t>Eficiencia global:</t>
        </is>
      </c>
      <c r="B16" s="43" t="inlineStr">
        <is>
          <t>-9.394</t>
        </is>
      </c>
    </row>
    <row r="17" ht="20" customHeight="1">
      <c r="A17" s="46" t="inlineStr">
        <is>
          <t>⚠️  Alta pérdida de demanda — considerar más cargadores.</t>
        </is>
      </c>
    </row>
    <row r="19" ht="24" customHeight="1">
      <c r="A19" s="39" t="inlineStr">
        <is>
          <t>📊  Escenario: No eficiente</t>
        </is>
      </c>
    </row>
    <row r="20" ht="18" customHeight="1">
      <c r="A20" s="5" t="inlineStr">
        <is>
          <t>Abandono total:</t>
        </is>
      </c>
      <c r="B20" s="47" t="inlineStr">
        <is>
          <t>0.9%</t>
        </is>
      </c>
    </row>
    <row r="21" ht="18" customHeight="1">
      <c r="A21" s="5" t="inlineStr">
        <is>
          <t>Atendidos CR / CSR:</t>
        </is>
      </c>
      <c r="B21" s="41" t="inlineStr">
        <is>
          <t>883 / 305</t>
        </is>
      </c>
    </row>
    <row r="22" ht="18" customHeight="1">
      <c r="A22" s="5" t="inlineStr">
        <is>
          <t>Espera prom. CR:</t>
        </is>
      </c>
      <c r="B22" s="42" t="inlineStr">
        <is>
          <t>0.4 min</t>
        </is>
      </c>
    </row>
    <row r="23" ht="18" customHeight="1">
      <c r="A23" s="5" t="inlineStr">
        <is>
          <t>Espera prom. CSR:</t>
        </is>
      </c>
      <c r="B23" s="42" t="inlineStr">
        <is>
          <t>0.9 min</t>
        </is>
      </c>
    </row>
    <row r="24" ht="18" customHeight="1">
      <c r="A24" s="5" t="inlineStr">
        <is>
          <t>Eficiencia global:</t>
        </is>
      </c>
      <c r="B24" s="43" t="inlineStr">
        <is>
          <t>-33.037</t>
        </is>
      </c>
    </row>
    <row r="25" ht="20" customHeight="1">
      <c r="A25" s="48" t="inlineStr">
        <is>
          <t>✅  Sistema eficiente — demanda bien gestionada.</t>
        </is>
      </c>
    </row>
  </sheetData>
  <mergeCells count="22">
    <mergeCell ref="B16:C16"/>
    <mergeCell ref="B7:C7"/>
    <mergeCell ref="A11:E11"/>
    <mergeCell ref="B22:C22"/>
    <mergeCell ref="A1:E1"/>
    <mergeCell ref="B12:C12"/>
    <mergeCell ref="B21:C21"/>
    <mergeCell ref="A25:E25"/>
    <mergeCell ref="B23:C23"/>
    <mergeCell ref="B14:C14"/>
    <mergeCell ref="B8:C8"/>
    <mergeCell ref="A3:E3"/>
    <mergeCell ref="B13:C13"/>
    <mergeCell ref="A17:E17"/>
    <mergeCell ref="A9:E9"/>
    <mergeCell ref="B6:C6"/>
    <mergeCell ref="B24:C24"/>
    <mergeCell ref="B15:C15"/>
    <mergeCell ref="B5:C5"/>
    <mergeCell ref="B20:C20"/>
    <mergeCell ref="A19:E19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32" customHeight="1">
      <c r="A1" s="28" t="inlineStr">
        <is>
          <t>GRÁFICOS COMPARATIVOS</t>
        </is>
      </c>
    </row>
    <row r="3" ht="18" customHeight="1">
      <c r="A3" s="49" t="inlineStr">
        <is>
          <t>Escenario</t>
        </is>
      </c>
      <c r="B3" s="49" t="inlineStr">
        <is>
          <t>% Abandono CR</t>
        </is>
      </c>
      <c r="C3" s="49" t="inlineStr">
        <is>
          <t>Espera CR (min)</t>
        </is>
      </c>
      <c r="D3" s="49" t="inlineStr">
        <is>
          <t>Ociosidad CR (%)</t>
        </is>
      </c>
      <c r="E3" s="49" t="inlineStr">
        <is>
          <t>Atendidos CR</t>
        </is>
      </c>
    </row>
    <row r="4" ht="18" customHeight="1">
      <c r="A4" s="7" t="inlineStr">
        <is>
          <t>Real</t>
        </is>
      </c>
      <c r="B4" s="50" t="n">
        <v>0.1305903779074988</v>
      </c>
      <c r="C4" s="17" t="n">
        <v>6.723103590118701</v>
      </c>
      <c r="D4" s="50" t="n">
        <v>0.3603615649540284</v>
      </c>
      <c r="E4" s="12" t="n">
        <v>773.96</v>
      </c>
    </row>
    <row r="5" ht="18" customHeight="1">
      <c r="A5" s="11" t="inlineStr">
        <is>
          <t>Eficiente</t>
        </is>
      </c>
      <c r="B5" s="18" t="n">
        <v>0.2012924677053878</v>
      </c>
      <c r="C5" s="16" t="n">
        <v>10.56808631075325</v>
      </c>
      <c r="D5" s="18" t="n">
        <v>0.197877863479211</v>
      </c>
      <c r="E5" s="10" t="n">
        <v>960.48</v>
      </c>
    </row>
    <row r="6" ht="18" customHeight="1">
      <c r="A6" s="7" t="inlineStr">
        <is>
          <t>No eficiente</t>
        </is>
      </c>
      <c r="B6" s="50" t="n">
        <v>0.005102422455934052</v>
      </c>
      <c r="C6" s="17" t="n">
        <v>0.362153191219949</v>
      </c>
      <c r="D6" s="50" t="n">
        <v>0.6417266500063495</v>
      </c>
      <c r="E6" s="12" t="n">
        <v>882.8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</cols>
  <sheetData>
    <row r="1" ht="32" customHeight="1">
      <c r="A1" s="28" t="inlineStr">
        <is>
          <t>RANKING DE EFICIENCIA GLOBAL</t>
        </is>
      </c>
    </row>
    <row r="2" ht="16" customHeight="1">
      <c r="A2" s="51" t="inlineStr">
        <is>
          <t>Score compuesto: 0.4×Espera + 0.3×Ociosidad + 0.2×Abandono − 0.1×Atendidos  (↓ mejor)</t>
        </is>
      </c>
    </row>
    <row r="4" ht="20" customHeight="1">
      <c r="A4" s="4" t="inlineStr">
        <is>
          <t>Pos.</t>
        </is>
      </c>
      <c r="B4" s="4" t="inlineStr">
        <is>
          <t>Escenario</t>
        </is>
      </c>
      <c r="C4" s="4" t="inlineStr">
        <is>
          <t>Score</t>
        </is>
      </c>
      <c r="D4" s="4" t="inlineStr">
        <is>
          <t>Evaluación</t>
        </is>
      </c>
    </row>
    <row r="5" ht="22" customHeight="1">
      <c r="A5" s="52" t="inlineStr">
        <is>
          <t>🥇 #1</t>
        </is>
      </c>
      <c r="B5" s="53" t="inlineStr">
        <is>
          <t>No eficiente</t>
        </is>
      </c>
      <c r="C5" s="54" t="n">
        <v>-33.03712892316468</v>
      </c>
      <c r="D5" s="55" t="inlineStr">
        <is>
          <t>Óptimo</t>
        </is>
      </c>
    </row>
    <row r="6" ht="22" customHeight="1">
      <c r="A6" s="56" t="inlineStr">
        <is>
          <t>🥈 #2</t>
        </is>
      </c>
      <c r="B6" s="57" t="inlineStr">
        <is>
          <t>Real</t>
        </is>
      </c>
      <c r="C6" s="58" t="n">
        <v>-21.66272822547933</v>
      </c>
      <c r="D6" s="59" t="inlineStr">
        <is>
          <t>Aceptable</t>
        </is>
      </c>
    </row>
    <row r="7" ht="22" customHeight="1">
      <c r="A7" s="60" t="inlineStr">
        <is>
          <t>🥉 #3</t>
        </is>
      </c>
      <c r="B7" s="61" t="inlineStr">
        <is>
          <t>Eficiente</t>
        </is>
      </c>
      <c r="C7" s="62" t="n">
        <v>-9.393893173960548</v>
      </c>
      <c r="D7" s="63" t="inlineStr">
        <is>
          <t>Mejorable</t>
        </is>
      </c>
    </row>
    <row r="10">
      <c r="A10" t="inlineStr">
        <is>
          <t>Escenario</t>
        </is>
      </c>
      <c r="B10" t="inlineStr">
        <is>
          <t>Score</t>
        </is>
      </c>
    </row>
    <row r="11">
      <c r="A11" t="inlineStr">
        <is>
          <t>No eficiente</t>
        </is>
      </c>
      <c r="B11" t="n">
        <v>-33.03712892316468</v>
      </c>
    </row>
    <row r="12">
      <c r="A12" t="inlineStr">
        <is>
          <t>Real</t>
        </is>
      </c>
      <c r="B12" t="n">
        <v>-21.66272822547933</v>
      </c>
    </row>
    <row r="13">
      <c r="A13" t="inlineStr">
        <is>
          <t>Eficiente</t>
        </is>
      </c>
      <c r="B13" t="n">
        <v>-9.393893173960548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2026-04-28T19:16:41Z</dcterms:created>
  <dcterms:modified xsi:type="dcterms:W3CDTF">2026-04-28T19:16:41Z</dcterms:modified>
</cp:coreProperties>
</file>