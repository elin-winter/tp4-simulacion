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KPIs" sheetId="2" state="visible" r:id="rId2"/>
    <sheet name="Insights" sheetId="3" state="visible" r:id="rId3"/>
    <sheet name="Gráficos" sheetId="4" state="visible" r:id="rId4"/>
    <sheet name="Eficie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F4D03F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66666"/>
      <sz val="9"/>
    </font>
    <font>
      <name val="Calibri"/>
      <color rgb="00CA6F1E"/>
      <sz val="10"/>
    </font>
    <font>
      <name val="Calibri"/>
      <color rgb="001E8449"/>
      <sz val="10"/>
    </font>
    <font>
      <name val="Calibri"/>
      <b val="1"/>
      <color rgb="00CA6F1E"/>
      <sz val="10"/>
    </font>
    <font>
      <name val="Calibri"/>
      <b val="1"/>
      <color rgb="001E8449"/>
      <sz val="10"/>
    </font>
    <font>
      <name val="Calibri"/>
      <color rgb="00F4D03F"/>
      <sz val="9"/>
    </font>
    <font>
      <name val="Calibri"/>
      <b val="1"/>
      <color rgb="00AAAAAA"/>
      <sz val="11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color rgb="00555555"/>
      <sz val="9"/>
    </font>
    <font>
      <name val="Calibri"/>
      <b val="1"/>
      <color rgb="00CA6F1E"/>
      <sz val="18"/>
    </font>
    <font>
      <name val="Calibri"/>
      <b val="1"/>
      <color rgb="002E86C1"/>
      <sz val="18"/>
    </font>
    <font>
      <name val="Calibri"/>
      <b val="1"/>
      <color rgb="001E8449"/>
      <sz val="18"/>
    </font>
    <font>
      <name val="Calibri"/>
      <b val="1"/>
      <color rgb="002E86C1"/>
      <sz val="10"/>
    </font>
    <font>
      <name val="Calibri"/>
      <b val="1"/>
      <color rgb="00333333"/>
      <sz val="10"/>
    </font>
    <font>
      <name val="Calibri"/>
      <b val="1"/>
      <color rgb="000D2137"/>
      <sz val="10"/>
    </font>
    <font>
      <name val="Calibri"/>
      <i val="1"/>
      <color rgb="00000000"/>
      <sz val="10"/>
    </font>
    <font>
      <name val="Calibri"/>
      <b val="1"/>
      <color rgb="00FFFFFF"/>
      <sz val="9"/>
    </font>
    <font>
      <name val="Calibri"/>
      <i val="1"/>
      <color rgb="00FFFFFF"/>
      <sz val="8"/>
    </font>
    <font>
      <name val="Calibri"/>
      <b val="1"/>
      <color rgb="00000000"/>
      <sz val="12"/>
    </font>
    <font>
      <name val="Calibri"/>
      <b val="1"/>
      <color rgb="00000000"/>
      <sz val="11"/>
    </font>
    <font>
      <name val="Calibri"/>
      <b val="1"/>
      <color rgb="000D2137"/>
      <sz val="12"/>
    </font>
    <font>
      <name val="Calibri"/>
      <b val="1"/>
      <color rgb="001E8449"/>
      <sz val="11"/>
    </font>
    <font>
      <name val="Calibri"/>
      <b val="1"/>
      <color rgb="00CA6F1E"/>
      <sz val="11"/>
    </font>
    <font>
      <name val="Calibri"/>
      <b val="1"/>
      <color rgb="00C0392B"/>
      <sz val="11"/>
    </font>
    <font>
      <name val="Calibri"/>
      <color rgb="00000000"/>
      <sz val="9"/>
    </font>
  </fonts>
  <fills count="19">
    <fill>
      <patternFill/>
    </fill>
    <fill>
      <patternFill patternType="gray125"/>
    </fill>
    <fill>
      <patternFill patternType="solid">
        <fgColor rgb="000D2137"/>
      </patternFill>
    </fill>
    <fill>
      <patternFill patternType="solid">
        <fgColor rgb="001A4A7A"/>
      </patternFill>
    </fill>
    <fill>
      <patternFill patternType="solid">
        <fgColor rgb="002E86C1"/>
      </patternFill>
    </fill>
    <fill>
      <patternFill patternType="solid">
        <fgColor rgb="00163D64"/>
      </patternFill>
    </fill>
    <fill>
      <patternFill patternType="solid">
        <fgColor rgb="000A2A47"/>
      </patternFill>
    </fill>
    <fill>
      <patternFill patternType="solid">
        <fgColor rgb="001B5E8A"/>
      </patternFill>
    </fill>
    <fill>
      <patternFill patternType="solid">
        <fgColor rgb="001A6EA0"/>
      </patternFill>
    </fill>
    <fill>
      <patternFill patternType="solid">
        <fgColor rgb="001A6636"/>
      </patternFill>
    </fill>
    <fill>
      <patternFill patternType="solid">
        <fgColor rgb="001E7A3E"/>
      </patternFill>
    </fill>
    <fill>
      <patternFill patternType="solid">
        <fgColor rgb="007B2400"/>
      </patternFill>
    </fill>
    <fill>
      <patternFill patternType="solid">
        <fgColor rgb="008C2900"/>
      </patternFill>
    </fill>
    <fill>
      <patternFill patternType="solid">
        <fgColor rgb="00F2F3F4"/>
      </patternFill>
    </fill>
    <fill>
      <patternFill patternType="solid">
        <fgColor rgb="00FFFFFF"/>
      </patternFill>
    </fill>
    <fill>
      <patternFill patternType="solid">
        <fgColor rgb="00D6EAF8"/>
      </patternFill>
    </fill>
    <fill>
      <patternFill patternType="solid">
        <fgColor rgb="00117A65"/>
      </patternFill>
    </fill>
    <fill>
      <patternFill patternType="solid">
        <fgColor rgb="00FDEBD0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/>
    </xf>
    <xf numFmtId="0" fontId="7" fillId="13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164" fontId="3" fillId="14" borderId="1" applyAlignment="1" pivotButton="0" quotePrefix="0" xfId="0">
      <alignment horizontal="center" vertical="center" wrapText="1"/>
    </xf>
    <xf numFmtId="164" fontId="3" fillId="13" borderId="1" applyAlignment="1" pivotButton="0" quotePrefix="0" xfId="0">
      <alignment horizontal="center" vertical="center" wrapText="1"/>
    </xf>
    <xf numFmtId="165" fontId="8" fillId="13" borderId="1" applyAlignment="1" pivotButton="0" quotePrefix="0" xfId="0">
      <alignment horizontal="center" vertical="center" wrapText="1"/>
    </xf>
    <xf numFmtId="165" fontId="9" fillId="13" borderId="1" applyAlignment="1" pivotButton="0" quotePrefix="0" xfId="0">
      <alignment horizontal="center" vertical="center" wrapText="1"/>
    </xf>
    <xf numFmtId="2" fontId="3" fillId="14" borderId="1" applyAlignment="1" pivotButton="0" quotePrefix="0" xfId="0">
      <alignment horizontal="center" vertical="center" wrapText="1"/>
    </xf>
    <xf numFmtId="2" fontId="3" fillId="13" borderId="1" applyAlignment="1" pivotButton="0" quotePrefix="0" xfId="0">
      <alignment horizontal="center" vertical="center" wrapText="1"/>
    </xf>
    <xf numFmtId="165" fontId="3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165" fontId="10" fillId="15" borderId="1" applyAlignment="1" pivotButton="0" quotePrefix="0" xfId="0">
      <alignment horizontal="center" vertical="center" wrapText="1"/>
    </xf>
    <xf numFmtId="165" fontId="11" fillId="1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166" fontId="13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15" fillId="16" borderId="0" applyAlignment="1" pivotButton="0" quotePrefix="0" xfId="0">
      <alignment horizontal="center" vertical="center" wrapText="1"/>
    </xf>
    <xf numFmtId="0" fontId="16" fillId="13" borderId="0" applyAlignment="1" pivotButton="0" quotePrefix="0" xfId="0">
      <alignment horizontal="left" vertical="center" wrapText="1"/>
    </xf>
    <xf numFmtId="165" fontId="17" fillId="14" borderId="0" applyAlignment="1" pivotButton="0" quotePrefix="0" xfId="0">
      <alignment horizontal="center" vertical="center" wrapText="1"/>
    </xf>
    <xf numFmtId="165" fontId="19" fillId="14" borderId="0" applyAlignment="1" pivotButton="0" quotePrefix="0" xfId="0">
      <alignment horizontal="center" vertical="center" wrapText="1"/>
    </xf>
    <xf numFmtId="0" fontId="0" fillId="15" borderId="0" pivotButton="0" quotePrefix="0" xfId="0"/>
    <xf numFmtId="2" fontId="18" fillId="14" borderId="0" applyAlignment="1" pivotButton="0" quotePrefix="0" xfId="0">
      <alignment horizontal="center" vertical="center" wrapText="1"/>
    </xf>
    <xf numFmtId="165" fontId="18" fillId="14" borderId="0" applyAlignment="1" pivotButton="0" quotePrefix="0" xfId="0">
      <alignment horizontal="center" vertical="center" wrapText="1"/>
    </xf>
    <xf numFmtId="164" fontId="18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20" fillId="14" borderId="1" applyAlignment="1" pivotButton="0" quotePrefix="0" xfId="0">
      <alignment horizontal="left" vertical="center" wrapText="1"/>
    </xf>
    <xf numFmtId="0" fontId="21" fillId="14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23" fillId="17" borderId="0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23" fillId="18" borderId="0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center" vertical="center" wrapText="1"/>
    </xf>
    <xf numFmtId="165" fontId="3" fillId="13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left" vertical="center" wrapText="1"/>
    </xf>
    <xf numFmtId="0" fontId="26" fillId="14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left" vertical="center" wrapText="1"/>
    </xf>
    <xf numFmtId="166" fontId="28" fillId="14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7" fillId="13" borderId="1" applyAlignment="1" pivotButton="0" quotePrefix="0" xfId="0">
      <alignment horizontal="left" vertical="center" wrapText="1"/>
    </xf>
    <xf numFmtId="166" fontId="28" fillId="13" borderId="1" applyAlignment="1" pivotButton="0" quotePrefix="0" xfId="0">
      <alignment horizontal="center" vertical="center" wrapText="1"/>
    </xf>
    <xf numFmtId="0" fontId="30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7" fillId="15" borderId="1" applyAlignment="1" pivotButton="0" quotePrefix="0" xfId="0">
      <alignment horizontal="left" vertical="center" wrapText="1"/>
    </xf>
    <xf numFmtId="166" fontId="28" fillId="15" borderId="1" applyAlignment="1" pivotButton="0" quotePrefix="0" xfId="0">
      <alignment horizontal="center" vertical="center" wrapText="1"/>
    </xf>
    <xf numFmtId="0" fontId="31" fillId="15" borderId="1" applyAlignment="1" pivotButton="0" quotePrefix="0" xfId="0">
      <alignment horizontal="center" vertical="center" wrapText="1"/>
    </xf>
    <xf numFmtId="0" fontId="24" fillId="3" borderId="0" applyAlignment="1" pivotButton="0" quotePrefix="0" xfId="0">
      <alignment horizontal="center" vertical="center" wrapText="1"/>
    </xf>
    <xf numFmtId="0" fontId="32" fillId="13" borderId="1" applyAlignment="1" pivotButton="0" quotePrefix="0" xfId="0">
      <alignment horizontal="center" vertical="center" wrapText="1"/>
    </xf>
    <xf numFmtId="165" fontId="32" fillId="1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% Abandono por Escenario (CR)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'Gráficos'!B3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'Gráficos'!$A$4:$A$6</f>
            </numRef>
          </cat>
          <val>
            <numRef>
              <f>'Gráficos'!$B$4:$B$6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 de abandono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Espera Promedio CR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'Gráficos'!C3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'Gráficos'!$A$4:$A$6</f>
            </numRef>
          </cat>
          <val>
            <numRef>
              <f>'Gráficos'!$C$4:$C$6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Ociosidad Promedio CR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'Gráficos'!D3</f>
            </strRef>
          </tx>
          <spPr>
            <a:solidFill>
              <a:srgbClr val="117A65"/>
            </a:solidFill>
            <a:ln>
              <a:prstDash val="solid"/>
            </a:ln>
          </spPr>
          <cat>
            <numRef>
              <f>'Gráficos'!$A$4:$A$6</f>
            </numRef>
          </cat>
          <val>
            <numRef>
              <f>'Gráficos'!$D$4:$D$6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Ociosidad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Score de Eficiencia (↑ mayor = mejor)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'Eficiencia'!B10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'Eficiencia'!$A$11:$A$13</f>
            </numRef>
          </cat>
          <val>
            <numRef>
              <f>'Eficiencia'!$B$11:$B$13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% Abandono por Escenario: CR vs CSR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'Eficiencia'!B17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'Eficiencia'!$A$18:$A$20</f>
            </numRef>
          </cat>
          <val>
            <numRef>
              <f>'Eficiencia'!$B$18:$B$20</f>
            </numRef>
          </val>
        </ser>
        <ser>
          <idx val="1"/>
          <order val="1"/>
          <tx>
            <strRef>
              <f>'Eficiencia'!C17</f>
            </strRef>
          </tx>
          <spPr>
            <a:solidFill>
              <a:srgbClr val="117A65"/>
            </a:solidFill>
            <a:ln>
              <a:prstDash val="solid"/>
            </a:ln>
          </spPr>
          <cat>
            <numRef>
              <f>'Eficiencia'!$A$18:$A$20</f>
            </numRef>
          </cat>
          <val>
            <numRef>
              <f>'Eficiencia'!$C$18:$C$20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 de abandono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" customWidth="1" min="9" max="9"/>
    <col width="2" customWidth="1" min="10" max="10"/>
  </cols>
  <sheetData>
    <row r="1" ht="36" customHeight="1">
      <c r="A1" s="1" t="inlineStr">
        <is>
          <t>ANÁLISIS DE SENSIBILIDAD — ESTACIÓN DE CARGA VE</t>
        </is>
      </c>
    </row>
    <row r="2" ht="18" customHeight="1">
      <c r="A2" s="2" t="inlineStr">
        <is>
          <t xml:space="preserve">  100 réplicas  ·  1440 min c/u  ·  Seed: aleatorio  ·  Generado: 28/04/2026 16:48</t>
        </is>
      </c>
    </row>
    <row r="3" ht="4" customHeight="1">
      <c r="A3" s="3" t="n"/>
    </row>
    <row r="4" ht="22" customHeight="1">
      <c r="A4" s="4" t="inlineStr"/>
      <c r="B4" s="4" t="inlineStr"/>
      <c r="C4" s="5" t="inlineStr">
        <is>
          <t>Real</t>
        </is>
      </c>
      <c r="E4" s="6" t="inlineStr">
        <is>
          <t>Eficiente</t>
        </is>
      </c>
      <c r="G4" s="7" t="inlineStr">
        <is>
          <t>No eficiente</t>
        </is>
      </c>
    </row>
    <row r="5" ht="20" customHeight="1">
      <c r="A5" s="8" t="inlineStr">
        <is>
          <t>Métrica</t>
        </is>
      </c>
      <c r="B5" s="8" t="inlineStr">
        <is>
          <t>Unidad</t>
        </is>
      </c>
      <c r="C5" s="9" t="inlineStr">
        <is>
          <t>CR</t>
        </is>
      </c>
      <c r="D5" s="10" t="inlineStr">
        <is>
          <t>CSR</t>
        </is>
      </c>
      <c r="E5" s="11" t="inlineStr">
        <is>
          <t>CR</t>
        </is>
      </c>
      <c r="F5" s="12" t="inlineStr">
        <is>
          <t>CSR</t>
        </is>
      </c>
      <c r="G5" s="13" t="inlineStr">
        <is>
          <t>CR</t>
        </is>
      </c>
      <c r="H5" s="14" t="inlineStr">
        <is>
          <t>CSR</t>
        </is>
      </c>
    </row>
    <row r="6" ht="3" customHeight="1">
      <c r="A6" s="3" t="n"/>
      <c r="B6" s="3" t="n"/>
      <c r="C6" s="3" t="n"/>
      <c r="D6" s="3" t="n"/>
      <c r="E6" s="3" t="n"/>
      <c r="F6" s="3" t="n"/>
      <c r="G6" s="3" t="n"/>
      <c r="H6" s="3" t="n"/>
    </row>
    <row r="7" ht="20" customHeight="1">
      <c r="A7" s="15" t="inlineStr">
        <is>
          <t>N° Cargadores</t>
        </is>
      </c>
      <c r="B7" s="16" t="inlineStr">
        <is>
          <t>#</t>
        </is>
      </c>
      <c r="C7" s="17" t="n">
        <v>1</v>
      </c>
      <c r="D7" s="17" t="n">
        <v>1</v>
      </c>
      <c r="E7" s="17" t="n">
        <v>2</v>
      </c>
      <c r="F7" s="17" t="n">
        <v>1</v>
      </c>
      <c r="G7" s="17" t="n">
        <v>3</v>
      </c>
      <c r="H7" s="17" t="n">
        <v>4</v>
      </c>
    </row>
    <row r="8" ht="20" customHeight="1">
      <c r="A8" s="18" t="inlineStr">
        <is>
          <t>Llegadas promedio</t>
        </is>
      </c>
      <c r="B8" s="19" t="inlineStr">
        <is>
          <t>#</t>
        </is>
      </c>
      <c r="C8" s="20" t="n">
        <v>30.28</v>
      </c>
      <c r="D8" s="20" t="n">
        <v>10.61</v>
      </c>
      <c r="E8" s="20" t="n">
        <v>30.61</v>
      </c>
      <c r="F8" s="20" t="n">
        <v>10.04</v>
      </c>
      <c r="G8" s="20" t="n">
        <v>29.7</v>
      </c>
      <c r="H8" s="20" t="n">
        <v>10.4</v>
      </c>
    </row>
    <row r="9" ht="20" customHeight="1">
      <c r="A9" s="15" t="inlineStr">
        <is>
          <t>Atendidos promedio</t>
        </is>
      </c>
      <c r="B9" s="16" t="inlineStr">
        <is>
          <t>#</t>
        </is>
      </c>
      <c r="C9" s="21" t="n">
        <v>26.36</v>
      </c>
      <c r="D9" s="21" t="n">
        <v>8.58</v>
      </c>
      <c r="E9" s="21" t="n">
        <v>30.46</v>
      </c>
      <c r="F9" s="21" t="n">
        <v>8.279999999999999</v>
      </c>
      <c r="G9" s="21" t="n">
        <v>29.7</v>
      </c>
      <c r="H9" s="21" t="n">
        <v>10.4</v>
      </c>
    </row>
    <row r="10" ht="20" customHeight="1">
      <c r="A10" s="18" t="inlineStr">
        <is>
          <t>Arrepentidos prom.</t>
        </is>
      </c>
      <c r="B10" s="19" t="inlineStr">
        <is>
          <t>#</t>
        </is>
      </c>
      <c r="C10" s="20" t="n">
        <v>3.92</v>
      </c>
      <c r="D10" s="20" t="n">
        <v>2.03</v>
      </c>
      <c r="E10" s="20" t="n">
        <v>0.15</v>
      </c>
      <c r="F10" s="20" t="n">
        <v>1.76</v>
      </c>
      <c r="G10" s="20" t="n">
        <v>0</v>
      </c>
      <c r="H10" s="20" t="n">
        <v>0</v>
      </c>
    </row>
    <row r="11" ht="20" customHeight="1">
      <c r="A11" s="15" t="inlineStr">
        <is>
          <t>% Abandono</t>
        </is>
      </c>
      <c r="B11" s="16" t="inlineStr">
        <is>
          <t>%</t>
        </is>
      </c>
      <c r="C11" s="22" t="n">
        <v>0.1253394588482308</v>
      </c>
      <c r="D11" s="22" t="n">
        <v>0.1796217663055898</v>
      </c>
      <c r="E11" s="23" t="n">
        <v>0.004607572894210825</v>
      </c>
      <c r="F11" s="22" t="n">
        <v>0.1583791581655359</v>
      </c>
      <c r="G11" s="23" t="n">
        <v>0</v>
      </c>
      <c r="H11" s="23" t="n">
        <v>0</v>
      </c>
    </row>
    <row r="12" ht="20" customHeight="1">
      <c r="A12" s="18" t="inlineStr">
        <is>
          <t>Espera promedio</t>
        </is>
      </c>
      <c r="B12" s="19" t="inlineStr">
        <is>
          <t>min</t>
        </is>
      </c>
      <c r="C12" s="24" t="n">
        <v>5.761531231455991</v>
      </c>
      <c r="D12" s="24" t="n">
        <v>9.597721506031091</v>
      </c>
      <c r="E12" s="24" t="n">
        <v>0.3818516294810471</v>
      </c>
      <c r="F12" s="24" t="n">
        <v>7.314134129313196</v>
      </c>
      <c r="G12" s="24" t="n">
        <v>0.01202859565170951</v>
      </c>
      <c r="H12" s="24" t="n">
        <v>0.006482986361158964</v>
      </c>
    </row>
    <row r="13" ht="20" customHeight="1">
      <c r="A13" s="15" t="inlineStr">
        <is>
          <t>Tiempo en sistema</t>
        </is>
      </c>
      <c r="B13" s="16" t="inlineStr">
        <is>
          <t>min</t>
        </is>
      </c>
      <c r="C13" s="25" t="n">
        <v>41.43013127298266</v>
      </c>
      <c r="D13" s="25" t="n">
        <v>89.40976115474801</v>
      </c>
      <c r="E13" s="25" t="n">
        <v>35.3245359283821</v>
      </c>
      <c r="F13" s="25" t="n">
        <v>87.80994943672478</v>
      </c>
      <c r="G13" s="25" t="n">
        <v>35.12663786201732</v>
      </c>
      <c r="H13" s="25" t="n">
        <v>80.03624894523395</v>
      </c>
    </row>
    <row r="14" ht="20" customHeight="1">
      <c r="A14" s="18" t="inlineStr">
        <is>
          <t>Ociosidad cargadores</t>
        </is>
      </c>
      <c r="B14" s="19" t="inlineStr">
        <is>
          <t>%</t>
        </is>
      </c>
      <c r="C14" s="26" t="n">
        <v>0.3541506500866051</v>
      </c>
      <c r="D14" s="26" t="n">
        <v>0.5329493198082061</v>
      </c>
      <c r="E14" s="26" t="n">
        <v>0.6318567550864226</v>
      </c>
      <c r="F14" s="26" t="n">
        <v>0.5471170794734832</v>
      </c>
      <c r="G14" s="26" t="n">
        <v>0.7596752161205959</v>
      </c>
      <c r="H14" s="26" t="n">
        <v>0.8565395884989202</v>
      </c>
    </row>
    <row r="15" ht="20" customHeight="1">
      <c r="A15" s="27" t="inlineStr">
        <is>
          <t>Abandono total</t>
        </is>
      </c>
      <c r="B15" s="28" t="inlineStr">
        <is>
          <t>%</t>
        </is>
      </c>
      <c r="C15" s="29" t="n">
        <v>0.1455123502078748</v>
      </c>
      <c r="D15" s="29" t="n">
        <v>0.1455123502078748</v>
      </c>
      <c r="E15" s="30" t="n">
        <v>0.04698646986469865</v>
      </c>
      <c r="F15" s="30" t="n">
        <v>0.04698646986469865</v>
      </c>
      <c r="G15" s="30" t="n">
        <v>0</v>
      </c>
      <c r="H15" s="30" t="n">
        <v>0</v>
      </c>
    </row>
    <row r="16" ht="24" customHeight="1">
      <c r="A16" s="31" t="inlineStr">
        <is>
          <t>Eficiencia global (⭡ mayor = mejor)</t>
        </is>
      </c>
      <c r="B16" s="32" t="inlineStr">
        <is>
          <t>score</t>
        </is>
      </c>
      <c r="C16" s="33" t="n">
        <v>0.2782250075262972</v>
      </c>
      <c r="D16" s="34" t="inlineStr">
        <is>
          <t>—</t>
        </is>
      </c>
      <c r="E16" s="33" t="n">
        <v>0.55920114252168</v>
      </c>
      <c r="F16" s="34" t="inlineStr">
        <is>
          <t>—</t>
        </is>
      </c>
      <c r="G16" s="35" t="n">
        <v>0.5916969534265795</v>
      </c>
      <c r="H16" s="32" t="inlineStr">
        <is>
          <t>★ MEJOR</t>
        </is>
      </c>
    </row>
  </sheetData>
  <mergeCells count="6">
    <mergeCell ref="G4:H4"/>
    <mergeCell ref="A1:J1"/>
    <mergeCell ref="E4:F4"/>
    <mergeCell ref="A3:J3"/>
    <mergeCell ref="A2:J2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36" t="inlineStr">
        <is>
          <t>PANEL DE KPIs POR ESCENARIO</t>
        </is>
      </c>
    </row>
    <row r="2" ht="16" customHeight="1">
      <c r="A2" s="37" t="inlineStr">
        <is>
          <t>Comparación rápida entre escenarios simulados</t>
        </is>
      </c>
    </row>
    <row r="4" ht="26" customHeight="1">
      <c r="A4" s="38" t="inlineStr">
        <is>
          <t>Real</t>
        </is>
      </c>
      <c r="C4" s="38" t="inlineStr">
        <is>
          <t>Eficiente</t>
        </is>
      </c>
      <c r="E4" s="39" t="inlineStr">
        <is>
          <t>No eficiente ★</t>
        </is>
      </c>
    </row>
    <row r="5" ht="16" customHeight="1">
      <c r="A5" s="40" t="inlineStr">
        <is>
          <t>Abandono total</t>
        </is>
      </c>
      <c r="C5" s="40" t="inlineStr">
        <is>
          <t>Abandono total</t>
        </is>
      </c>
      <c r="E5" s="40" t="inlineStr">
        <is>
          <t>Abandono total</t>
        </is>
      </c>
    </row>
    <row r="6" ht="30" customHeight="1">
      <c r="A6" s="41" t="n">
        <v>0.1253394588482308</v>
      </c>
      <c r="C6" s="42" t="n">
        <v>0.004607572894210825</v>
      </c>
      <c r="E6" s="42" t="n">
        <v>0</v>
      </c>
    </row>
    <row r="7" ht="5" customHeight="1">
      <c r="A7" s="43" t="n"/>
      <c r="B7" s="43" t="n"/>
      <c r="C7" s="43" t="n"/>
      <c r="D7" s="43" t="n"/>
      <c r="E7" s="43" t="n"/>
      <c r="F7" s="43" t="n"/>
    </row>
    <row r="8" ht="16" customHeight="1">
      <c r="A8" s="40" t="inlineStr">
        <is>
          <t>Espera prom. CR</t>
        </is>
      </c>
      <c r="C8" s="40" t="inlineStr">
        <is>
          <t>Espera prom. CR</t>
        </is>
      </c>
      <c r="E8" s="40" t="inlineStr">
        <is>
          <t>Espera prom. CR</t>
        </is>
      </c>
    </row>
    <row r="9" ht="30" customHeight="1">
      <c r="A9" s="44" t="n">
        <v>5.761531231455991</v>
      </c>
      <c r="C9" s="44" t="n">
        <v>0.3818516294810471</v>
      </c>
      <c r="E9" s="44" t="n">
        <v>0.01202859565170951</v>
      </c>
    </row>
    <row r="10" ht="5" customHeight="1">
      <c r="A10" s="43" t="n"/>
      <c r="B10" s="43" t="n"/>
      <c r="C10" s="43" t="n"/>
      <c r="D10" s="43" t="n"/>
      <c r="E10" s="43" t="n"/>
      <c r="F10" s="43" t="n"/>
    </row>
    <row r="11" ht="16" customHeight="1">
      <c r="A11" s="40" t="inlineStr">
        <is>
          <t>Ociosidad CR</t>
        </is>
      </c>
      <c r="C11" s="40" t="inlineStr">
        <is>
          <t>Ociosidad CR</t>
        </is>
      </c>
      <c r="E11" s="40" t="inlineStr">
        <is>
          <t>Ociosidad CR</t>
        </is>
      </c>
    </row>
    <row r="12" ht="30" customHeight="1">
      <c r="A12" s="45" t="n">
        <v>0.3541506500866051</v>
      </c>
      <c r="C12" s="45" t="n">
        <v>0.6318567550864226</v>
      </c>
      <c r="E12" s="45" t="n">
        <v>0.7596752161205959</v>
      </c>
    </row>
    <row r="13" ht="5" customHeight="1">
      <c r="A13" s="43" t="n"/>
      <c r="B13" s="43" t="n"/>
      <c r="C13" s="43" t="n"/>
      <c r="D13" s="43" t="n"/>
      <c r="E13" s="43" t="n"/>
      <c r="F13" s="43" t="n"/>
    </row>
    <row r="14" ht="16" customHeight="1">
      <c r="A14" s="40" t="inlineStr">
        <is>
          <t>Atendidos CR</t>
        </is>
      </c>
      <c r="C14" s="40" t="inlineStr">
        <is>
          <t>Atendidos CR</t>
        </is>
      </c>
      <c r="E14" s="40" t="inlineStr">
        <is>
          <t>Atendidos CR</t>
        </is>
      </c>
    </row>
    <row r="15" ht="30" customHeight="1">
      <c r="A15" s="46" t="n">
        <v>26.36</v>
      </c>
      <c r="C15" s="46" t="n">
        <v>30.46</v>
      </c>
      <c r="E15" s="46" t="n">
        <v>29.7</v>
      </c>
    </row>
    <row r="16" ht="5" customHeight="1">
      <c r="A16" s="43" t="n"/>
      <c r="B16" s="43" t="n"/>
      <c r="C16" s="43" t="n"/>
      <c r="D16" s="43" t="n"/>
      <c r="E16" s="43" t="n"/>
      <c r="F16" s="43" t="n"/>
    </row>
  </sheetData>
  <mergeCells count="29">
    <mergeCell ref="E12:F12"/>
    <mergeCell ref="C6:D6"/>
    <mergeCell ref="A15:B15"/>
    <mergeCell ref="C15:D15"/>
    <mergeCell ref="A11:B11"/>
    <mergeCell ref="C5:D5"/>
    <mergeCell ref="E5:F5"/>
    <mergeCell ref="C14:D14"/>
    <mergeCell ref="E14:F14"/>
    <mergeCell ref="A6:B6"/>
    <mergeCell ref="E8:F8"/>
    <mergeCell ref="C4:D4"/>
    <mergeCell ref="A2:F2"/>
    <mergeCell ref="E4:F4"/>
    <mergeCell ref="C9:D9"/>
    <mergeCell ref="E9:F9"/>
    <mergeCell ref="A12:B12"/>
    <mergeCell ref="C12:D12"/>
    <mergeCell ref="E6:F6"/>
    <mergeCell ref="E15:F15"/>
    <mergeCell ref="C11:D11"/>
    <mergeCell ref="E11:F11"/>
    <mergeCell ref="A5:B5"/>
    <mergeCell ref="A14:B14"/>
    <mergeCell ref="A8:B8"/>
    <mergeCell ref="C8:D8"/>
    <mergeCell ref="A4:B4"/>
    <mergeCell ref="A1:F1"/>
    <mergeCell ref="A9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</cols>
  <sheetData>
    <row r="1" ht="32" customHeight="1">
      <c r="A1" s="36" t="inlineStr">
        <is>
          <t>INSIGHTS AUTOMÁTICOS</t>
        </is>
      </c>
    </row>
    <row r="3" ht="24" customHeight="1">
      <c r="A3" s="47" t="inlineStr">
        <is>
          <t>📊  Escenario: Real</t>
        </is>
      </c>
    </row>
    <row r="4" ht="18" customHeight="1">
      <c r="A4" s="15" t="inlineStr">
        <is>
          <t>Abandono total:</t>
        </is>
      </c>
      <c r="B4" s="48" t="inlineStr">
        <is>
          <t>14.6%</t>
        </is>
      </c>
    </row>
    <row r="5" ht="18" customHeight="1">
      <c r="A5" s="15" t="inlineStr">
        <is>
          <t>Atendidos CR / CSR:</t>
        </is>
      </c>
      <c r="B5" s="49" t="inlineStr">
        <is>
          <t>26 / 9</t>
        </is>
      </c>
    </row>
    <row r="6" ht="18" customHeight="1">
      <c r="A6" s="15" t="inlineStr">
        <is>
          <t>Espera prom. CR:</t>
        </is>
      </c>
      <c r="B6" s="50" t="inlineStr">
        <is>
          <t>5.8 min</t>
        </is>
      </c>
    </row>
    <row r="7" ht="18" customHeight="1">
      <c r="A7" s="15" t="inlineStr">
        <is>
          <t>Espera prom. CSR:</t>
        </is>
      </c>
      <c r="B7" s="50" t="inlineStr">
        <is>
          <t>9.6 min</t>
        </is>
      </c>
    </row>
    <row r="8" ht="18" customHeight="1">
      <c r="A8" s="15" t="inlineStr">
        <is>
          <t>Eficiencia global:</t>
        </is>
      </c>
      <c r="B8" s="51" t="inlineStr">
        <is>
          <t>0.278  (↑ mayor = mejor)</t>
        </is>
      </c>
    </row>
    <row r="9" ht="20" customHeight="1">
      <c r="A9" s="52" t="inlineStr">
        <is>
          <t>⚡  Pérdida moderada — monitorear horas pico.</t>
        </is>
      </c>
    </row>
    <row r="11" ht="24" customHeight="1">
      <c r="A11" s="47" t="inlineStr">
        <is>
          <t>📊  Escenario: Eficiente</t>
        </is>
      </c>
    </row>
    <row r="12" ht="18" customHeight="1">
      <c r="A12" s="15" t="inlineStr">
        <is>
          <t>Abandono total:</t>
        </is>
      </c>
      <c r="B12" s="53" t="inlineStr">
        <is>
          <t>4.7%</t>
        </is>
      </c>
    </row>
    <row r="13" ht="18" customHeight="1">
      <c r="A13" s="15" t="inlineStr">
        <is>
          <t>Atendidos CR / CSR:</t>
        </is>
      </c>
      <c r="B13" s="49" t="inlineStr">
        <is>
          <t>30 / 8</t>
        </is>
      </c>
    </row>
    <row r="14" ht="18" customHeight="1">
      <c r="A14" s="15" t="inlineStr">
        <is>
          <t>Espera prom. CR:</t>
        </is>
      </c>
      <c r="B14" s="50" t="inlineStr">
        <is>
          <t>0.4 min</t>
        </is>
      </c>
    </row>
    <row r="15" ht="18" customHeight="1">
      <c r="A15" s="15" t="inlineStr">
        <is>
          <t>Espera prom. CSR:</t>
        </is>
      </c>
      <c r="B15" s="50" t="inlineStr">
        <is>
          <t>7.3 min</t>
        </is>
      </c>
    </row>
    <row r="16" ht="18" customHeight="1">
      <c r="A16" s="15" t="inlineStr">
        <is>
          <t>Eficiencia global:</t>
        </is>
      </c>
      <c r="B16" s="51" t="inlineStr">
        <is>
          <t>0.559  (↑ mayor = mejor)</t>
        </is>
      </c>
    </row>
    <row r="17" ht="20" customHeight="1">
      <c r="A17" s="54" t="inlineStr">
        <is>
          <t>✅  Sistema eficiente — demanda bien gestionada.</t>
        </is>
      </c>
    </row>
    <row r="19" ht="24" customHeight="1">
      <c r="A19" s="47" t="inlineStr">
        <is>
          <t>📊  Escenario: No eficiente</t>
        </is>
      </c>
    </row>
    <row r="20" ht="18" customHeight="1">
      <c r="A20" s="15" t="inlineStr">
        <is>
          <t>Abandono total:</t>
        </is>
      </c>
      <c r="B20" s="53" t="inlineStr">
        <is>
          <t>0.0%</t>
        </is>
      </c>
    </row>
    <row r="21" ht="18" customHeight="1">
      <c r="A21" s="15" t="inlineStr">
        <is>
          <t>Atendidos CR / CSR:</t>
        </is>
      </c>
      <c r="B21" s="49" t="inlineStr">
        <is>
          <t>30 / 10</t>
        </is>
      </c>
    </row>
    <row r="22" ht="18" customHeight="1">
      <c r="A22" s="15" t="inlineStr">
        <is>
          <t>Espera prom. CR:</t>
        </is>
      </c>
      <c r="B22" s="50" t="inlineStr">
        <is>
          <t>0.0 min</t>
        </is>
      </c>
    </row>
    <row r="23" ht="18" customHeight="1">
      <c r="A23" s="15" t="inlineStr">
        <is>
          <t>Espera prom. CSR:</t>
        </is>
      </c>
      <c r="B23" s="50" t="inlineStr">
        <is>
          <t>0.0 min</t>
        </is>
      </c>
    </row>
    <row r="24" ht="18" customHeight="1">
      <c r="A24" s="15" t="inlineStr">
        <is>
          <t>Eficiencia global:</t>
        </is>
      </c>
      <c r="B24" s="51" t="inlineStr">
        <is>
          <t>0.592  (↑ mayor = mejor)</t>
        </is>
      </c>
    </row>
    <row r="25" ht="20" customHeight="1">
      <c r="A25" s="54" t="inlineStr">
        <is>
          <t>✅  Sistema eficiente — demanda bien gestionada.</t>
        </is>
      </c>
    </row>
  </sheetData>
  <mergeCells count="22">
    <mergeCell ref="B16:C16"/>
    <mergeCell ref="B7:C7"/>
    <mergeCell ref="A11:E11"/>
    <mergeCell ref="B22:C22"/>
    <mergeCell ref="A1:E1"/>
    <mergeCell ref="B12:C12"/>
    <mergeCell ref="B21:C21"/>
    <mergeCell ref="A25:E25"/>
    <mergeCell ref="B23:C23"/>
    <mergeCell ref="B14:C14"/>
    <mergeCell ref="B8:C8"/>
    <mergeCell ref="A3:E3"/>
    <mergeCell ref="B13:C13"/>
    <mergeCell ref="A17:E17"/>
    <mergeCell ref="A9:E9"/>
    <mergeCell ref="B6:C6"/>
    <mergeCell ref="B24:C24"/>
    <mergeCell ref="B15:C15"/>
    <mergeCell ref="B5:C5"/>
    <mergeCell ref="B20:C20"/>
    <mergeCell ref="A19:E19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</cols>
  <sheetData>
    <row r="1" ht="32" customHeight="1">
      <c r="A1" s="36" t="inlineStr">
        <is>
          <t>GRÁFICOS COMPARATIVOS</t>
        </is>
      </c>
    </row>
    <row r="3" ht="18" customHeight="1">
      <c r="A3" s="55" t="inlineStr">
        <is>
          <t>Escenario</t>
        </is>
      </c>
      <c r="B3" s="55" t="inlineStr">
        <is>
          <t>% Abandono CR</t>
        </is>
      </c>
      <c r="C3" s="55" t="inlineStr">
        <is>
          <t>Espera CR (min)</t>
        </is>
      </c>
      <c r="D3" s="55" t="inlineStr">
        <is>
          <t>Ociosidad CR (%)</t>
        </is>
      </c>
      <c r="E3" s="55" t="inlineStr">
        <is>
          <t>Atendidos CR</t>
        </is>
      </c>
    </row>
    <row r="4" ht="18" customHeight="1">
      <c r="A4" s="17" t="inlineStr">
        <is>
          <t>Real</t>
        </is>
      </c>
      <c r="B4" s="56" t="n">
        <v>0.1253394588482308</v>
      </c>
      <c r="C4" s="25" t="n">
        <v>5.761531231455991</v>
      </c>
      <c r="D4" s="56" t="n">
        <v>0.3541506500866051</v>
      </c>
      <c r="E4" s="21" t="n">
        <v>26.36</v>
      </c>
    </row>
    <row r="5" ht="18" customHeight="1">
      <c r="A5" s="57" t="inlineStr">
        <is>
          <t>Eficiente</t>
        </is>
      </c>
      <c r="B5" s="26" t="n">
        <v>0.004607572894210825</v>
      </c>
      <c r="C5" s="24" t="n">
        <v>0.3818516294810471</v>
      </c>
      <c r="D5" s="26" t="n">
        <v>0.6318567550864226</v>
      </c>
      <c r="E5" s="20" t="n">
        <v>30.46</v>
      </c>
    </row>
    <row r="6" ht="18" customHeight="1">
      <c r="A6" s="17" t="inlineStr">
        <is>
          <t>No eficiente</t>
        </is>
      </c>
      <c r="B6" s="56" t="n">
        <v>0</v>
      </c>
      <c r="C6" s="25" t="n">
        <v>0.01202859565170951</v>
      </c>
      <c r="D6" s="56" t="n">
        <v>0.7596752161205959</v>
      </c>
      <c r="E6" s="21" t="n">
        <v>29.7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2" customWidth="1" min="5" max="5"/>
  </cols>
  <sheetData>
    <row r="1" ht="32" customHeight="1">
      <c r="A1" s="36" t="inlineStr">
        <is>
          <t>RANKING DE EFICIENCIA GLOBAL</t>
        </is>
      </c>
    </row>
    <row r="2" ht="16" customHeight="1">
      <c r="A2" s="58" t="inlineStr">
        <is>
          <t>Score compuesto (↑ mayor = mejor):  −0.4×Espera − 0.3×Ociosidad − 0.2×Abandono + 0.1×Atendidos</t>
        </is>
      </c>
    </row>
    <row r="4" ht="20" customHeight="1">
      <c r="A4" s="8" t="inlineStr">
        <is>
          <t>Pos.</t>
        </is>
      </c>
      <c r="B4" s="8" t="inlineStr">
        <is>
          <t>Escenario</t>
        </is>
      </c>
      <c r="C4" s="8" t="inlineStr">
        <is>
          <t>Score</t>
        </is>
      </c>
      <c r="D4" s="8" t="inlineStr">
        <is>
          <t>Evaluación</t>
        </is>
      </c>
    </row>
    <row r="5" ht="22" customHeight="1">
      <c r="A5" s="59" t="inlineStr">
        <is>
          <t>🥇 #1</t>
        </is>
      </c>
      <c r="B5" s="60" t="inlineStr">
        <is>
          <t>No eficiente</t>
        </is>
      </c>
      <c r="C5" s="61" t="n">
        <v>0.5916969534265795</v>
      </c>
      <c r="D5" s="62" t="inlineStr">
        <is>
          <t>Óptimo</t>
        </is>
      </c>
    </row>
    <row r="6" ht="22" customHeight="1">
      <c r="A6" s="63" t="inlineStr">
        <is>
          <t>🥈 #2</t>
        </is>
      </c>
      <c r="B6" s="64" t="inlineStr">
        <is>
          <t>Eficiente</t>
        </is>
      </c>
      <c r="C6" s="65" t="n">
        <v>0.55920114252168</v>
      </c>
      <c r="D6" s="66" t="inlineStr">
        <is>
          <t>Aceptable</t>
        </is>
      </c>
    </row>
    <row r="7" ht="22" customHeight="1">
      <c r="A7" s="67" t="inlineStr">
        <is>
          <t>🥉 #3</t>
        </is>
      </c>
      <c r="B7" s="68" t="inlineStr">
        <is>
          <t>Real</t>
        </is>
      </c>
      <c r="C7" s="69" t="n">
        <v>0.2782250075262972</v>
      </c>
      <c r="D7" s="70" t="inlineStr">
        <is>
          <t>Mejorable</t>
        </is>
      </c>
    </row>
    <row r="10">
      <c r="A10" t="inlineStr">
        <is>
          <t>Escenario</t>
        </is>
      </c>
      <c r="B10" t="inlineStr">
        <is>
          <t>Score</t>
        </is>
      </c>
    </row>
    <row r="11">
      <c r="A11" t="inlineStr">
        <is>
          <t>No eficiente</t>
        </is>
      </c>
      <c r="B11" t="n">
        <v>0.5916969534265795</v>
      </c>
    </row>
    <row r="12">
      <c r="A12" t="inlineStr">
        <is>
          <t>Eficiente</t>
        </is>
      </c>
      <c r="B12" t="n">
        <v>0.55920114252168</v>
      </c>
    </row>
    <row r="13">
      <c r="A13" t="inlineStr">
        <is>
          <t>Real</t>
        </is>
      </c>
      <c r="B13" t="n">
        <v>0.2782250075262972</v>
      </c>
    </row>
    <row r="16" ht="18" customHeight="1">
      <c r="A16" s="71" t="inlineStr">
        <is>
          <t>Comparación % abandono por tipo de cargador</t>
        </is>
      </c>
    </row>
    <row r="17" ht="16" customHeight="1">
      <c r="A17" s="55" t="inlineStr">
        <is>
          <t>Escenario</t>
        </is>
      </c>
      <c r="B17" s="55" t="inlineStr">
        <is>
          <t>CR</t>
        </is>
      </c>
      <c r="C17" s="55" t="inlineStr">
        <is>
          <t>CSR</t>
        </is>
      </c>
    </row>
    <row r="18" ht="16" customHeight="1">
      <c r="A18" s="72" t="inlineStr">
        <is>
          <t>Real</t>
        </is>
      </c>
      <c r="B18" s="73" t="n">
        <v>0.1253394588482308</v>
      </c>
      <c r="C18" s="73" t="n">
        <v>0.1796217663055898</v>
      </c>
    </row>
    <row r="19" ht="16" customHeight="1">
      <c r="A19" s="72" t="inlineStr">
        <is>
          <t>Eficiente</t>
        </is>
      </c>
      <c r="B19" s="73" t="n">
        <v>0.004607572894210825</v>
      </c>
      <c r="C19" s="73" t="n">
        <v>0.1583791581655359</v>
      </c>
    </row>
    <row r="20" ht="16" customHeight="1">
      <c r="A20" s="72" t="inlineStr">
        <is>
          <t>No eficiente</t>
        </is>
      </c>
      <c r="B20" s="73" t="n">
        <v>0</v>
      </c>
      <c r="C20" s="73" t="n">
        <v>0</v>
      </c>
    </row>
  </sheetData>
  <mergeCells count="3">
    <mergeCell ref="A2:F2"/>
    <mergeCell ref="A1:F1"/>
    <mergeCell ref="A16:D1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2026-04-28T19:48:39Z</dcterms:created>
  <dcterms:modified xsi:type="dcterms:W3CDTF">2026-04-28T19:48:39Z</dcterms:modified>
</cp:coreProperties>
</file>