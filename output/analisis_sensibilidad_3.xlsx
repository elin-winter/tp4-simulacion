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Comparativo" sheetId="1" state="visible" r:id="rId1"/>
    <sheet name="Detalle por Escenario" sheetId="2" state="visible" r:id="rId2"/>
    <sheet name="Datos Gráficos" sheetId="3" state="visible" r:id="rId3"/>
    <sheet name="Gráfic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1F4E79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2E75B6"/>
      <sz val="10"/>
    </font>
    <font>
      <name val="Arial"/>
      <b val="1"/>
      <color rgb="00375623"/>
      <sz val="10"/>
    </font>
    <font>
      <name val="Arial"/>
      <b val="1"/>
      <color rgb="00C00000"/>
      <sz val="10"/>
    </font>
    <font>
      <name val="Arial"/>
      <b val="1"/>
      <color rgb="00FFFFFF"/>
      <sz val="12"/>
    </font>
    <font>
      <name val="Arial"/>
      <b val="1"/>
      <color rgb="001F4E79"/>
      <sz val="11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center" vertical="center" wrapText="1"/>
    </xf>
    <xf numFmtId="164" fontId="5" fillId="11" borderId="1" applyAlignment="1" pivotButton="0" quotePrefix="0" xfId="0">
      <alignment horizontal="center" vertical="center" wrapText="1"/>
    </xf>
    <xf numFmtId="2" fontId="5" fillId="5" borderId="1" applyAlignment="1" pivotButton="0" quotePrefix="0" xfId="0">
      <alignment horizontal="center" vertical="center" wrapText="1"/>
    </xf>
    <xf numFmtId="2" fontId="5" fillId="7" borderId="1" applyAlignment="1" pivotButton="0" quotePrefix="0" xfId="0">
      <alignment horizontal="center" vertical="center" wrapText="1"/>
    </xf>
    <xf numFmtId="2" fontId="5" fillId="9" borderId="1" applyAlignment="1" pivotButton="0" quotePrefix="0" xfId="0">
      <alignment horizontal="center" vertical="center" wrapText="1"/>
    </xf>
    <xf numFmtId="2" fontId="5" fillId="11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2" fontId="5" fillId="4" borderId="1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left" vertical="center" wrapText="1"/>
    </xf>
    <xf numFmtId="0" fontId="7" fillId="10" borderId="0" applyAlignment="1" pivotButton="0" quotePrefix="0" xfId="0">
      <alignment horizontal="center" vertical="center" wrapText="1"/>
    </xf>
    <xf numFmtId="0" fontId="10" fillId="11" borderId="0" applyAlignment="1" pivotButton="0" quotePrefix="0" xfId="0">
      <alignment horizontal="left" vertical="center" wrapText="1"/>
    </xf>
    <xf numFmtId="0" fontId="4" fillId="11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1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Arrepentidos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'Datos Gráficos'!B4</f>
            </strRef>
          </tx>
          <spPr>
            <a:ln>
              <a:prstDash val="solid"/>
            </a:ln>
          </spPr>
          <cat>
            <numRef>
              <f>'Datos Gráficos'!$A$5:$A$7</f>
            </numRef>
          </cat>
          <val>
            <numRef>
              <f>'Datos Gráficos'!$B$5:$B$7</f>
            </numRef>
          </val>
        </ser>
        <ser>
          <idx val="1"/>
          <order val="1"/>
          <tx>
            <strRef>
              <f>'Datos Gráficos'!C4</f>
            </strRef>
          </tx>
          <spPr>
            <a:ln>
              <a:prstDash val="solid"/>
            </a:ln>
          </spPr>
          <cat>
            <numRef>
              <f>'Datos Gráficos'!$A$5:$A$7</f>
            </numRef>
          </cat>
          <val>
            <numRef>
              <f>'Datos Gráficos'!$C$5:$C$7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Tiempo Espera Prom (min)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'Datos Gráficos'!B11</f>
            </strRef>
          </tx>
          <spPr>
            <a:ln>
              <a:prstDash val="solid"/>
            </a:ln>
          </spPr>
          <cat>
            <numRef>
              <f>'Datos Gráficos'!$A$12:$A$14</f>
            </numRef>
          </cat>
          <val>
            <numRef>
              <f>'Datos Gráficos'!$B$12:$B$14</f>
            </numRef>
          </val>
        </ser>
        <ser>
          <idx val="1"/>
          <order val="1"/>
          <tx>
            <strRef>
              <f>'Datos Gráficos'!C11</f>
            </strRef>
          </tx>
          <spPr>
            <a:ln>
              <a:prstDash val="solid"/>
            </a:ln>
          </spPr>
          <cat>
            <numRef>
              <f>'Datos Gráficos'!$A$12:$A$14</f>
            </numRef>
          </cat>
          <val>
            <numRef>
              <f>'Datos Gráficos'!$C$12:$C$14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Tiempo Sistema Prom (min)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'Datos Gráficos'!B18</f>
            </strRef>
          </tx>
          <spPr>
            <a:ln>
              <a:prstDash val="solid"/>
            </a:ln>
          </spPr>
          <cat>
            <numRef>
              <f>'Datos Gráficos'!$A$19:$A$21</f>
            </numRef>
          </cat>
          <val>
            <numRef>
              <f>'Datos Gráficos'!$B$19:$B$21</f>
            </numRef>
          </val>
        </ser>
        <ser>
          <idx val="1"/>
          <order val="1"/>
          <tx>
            <strRef>
              <f>'Datos Gráficos'!C18</f>
            </strRef>
          </tx>
          <spPr>
            <a:ln>
              <a:prstDash val="solid"/>
            </a:ln>
          </spPr>
          <cat>
            <numRef>
              <f>'Datos Gráficos'!$A$19:$A$21</f>
            </numRef>
          </cat>
          <val>
            <numRef>
              <f>'Datos Gráficos'!$C$19:$C$21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Ociosidad Prom por Cargador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'Datos Gráficos'!B25</f>
            </strRef>
          </tx>
          <spPr>
            <a:ln>
              <a:prstDash val="solid"/>
            </a:ln>
          </spPr>
          <cat>
            <numRef>
              <f>'Datos Gráficos'!$A$26:$A$28</f>
            </numRef>
          </cat>
          <val>
            <numRef>
              <f>'Datos Gráficos'!$B$26:$B$28</f>
            </numRef>
          </val>
        </ser>
        <ser>
          <idx val="1"/>
          <order val="1"/>
          <tx>
            <strRef>
              <f>'Datos Gráficos'!C25</f>
            </strRef>
          </tx>
          <spPr>
            <a:ln>
              <a:prstDash val="solid"/>
            </a:ln>
          </spPr>
          <cat>
            <numRef>
              <f>'Datos Gráficos'!$A$26:$A$28</f>
            </numRef>
          </cat>
          <val>
            <numRef>
              <f>'Datos Gráficos'!$C$26:$C$28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21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0" customHeight="1">
      <c r="A1" s="1" t="inlineStr">
        <is>
          <t>ANÁLISIS DE SENSIBILIDAD — ESTACIÓN DE CARGA VE</t>
        </is>
      </c>
    </row>
    <row r="2" ht="16" customHeight="1">
      <c r="A2" s="2" t="inlineStr">
        <is>
          <t>Simulación de 1440 minutos | Seed: None | 2026-04-27</t>
        </is>
      </c>
    </row>
    <row r="4" ht="28" customHeight="1">
      <c r="A4" s="3" t="inlineStr">
        <is>
          <t>Métrica</t>
        </is>
      </c>
      <c r="B4" s="3" t="inlineStr">
        <is>
          <t>Unidad</t>
        </is>
      </c>
      <c r="C4" s="4" t="inlineStr">
        <is>
          <t>Real (CR)</t>
        </is>
      </c>
      <c r="D4" s="4" t="inlineStr">
        <is>
          <t>Real (CSR)</t>
        </is>
      </c>
      <c r="E4" s="5" t="inlineStr">
        <is>
          <t>Eficiente (CR)</t>
        </is>
      </c>
      <c r="F4" s="5" t="inlineStr">
        <is>
          <t>Eficiente (CSR)</t>
        </is>
      </c>
      <c r="G4" s="6" t="inlineStr">
        <is>
          <t>No eficiente (CR)</t>
        </is>
      </c>
      <c r="H4" s="6" t="inlineStr">
        <is>
          <t>No eficiente (CSR)</t>
        </is>
      </c>
    </row>
    <row r="5" ht="18" customHeight="1">
      <c r="A5" s="7" t="inlineStr">
        <is>
          <t>N° Cargadores</t>
        </is>
      </c>
      <c r="B5" s="8" t="inlineStr">
        <is>
          <t>#</t>
        </is>
      </c>
      <c r="C5" s="9" t="n">
        <v>1</v>
      </c>
      <c r="D5" s="9" t="n">
        <v>1</v>
      </c>
      <c r="E5" s="10" t="n">
        <v>1</v>
      </c>
      <c r="F5" s="10" t="n">
        <v>0</v>
      </c>
      <c r="G5" s="11" t="n">
        <v>3</v>
      </c>
      <c r="H5" s="11" t="n">
        <v>2</v>
      </c>
    </row>
    <row r="6" ht="18" customHeight="1">
      <c r="A6" s="12" t="inlineStr">
        <is>
          <t>Total Llegadas</t>
        </is>
      </c>
      <c r="B6" s="13" t="inlineStr">
        <is>
          <t>#</t>
        </is>
      </c>
      <c r="C6" s="13" t="n">
        <v>38</v>
      </c>
      <c r="D6" s="13" t="n">
        <v>7</v>
      </c>
      <c r="E6" s="13" t="n">
        <v>47</v>
      </c>
      <c r="F6" s="13" t="n">
        <v>0</v>
      </c>
      <c r="G6" s="13" t="n">
        <v>36</v>
      </c>
      <c r="H6" s="13" t="n">
        <v>8</v>
      </c>
    </row>
    <row r="7" ht="18" customHeight="1">
      <c r="A7" s="7" t="inlineStr">
        <is>
          <t>Total Atendidos</t>
        </is>
      </c>
      <c r="B7" s="8" t="inlineStr">
        <is>
          <t>#</t>
        </is>
      </c>
      <c r="C7" s="9" t="n">
        <v>32</v>
      </c>
      <c r="D7" s="9" t="n">
        <v>6</v>
      </c>
      <c r="E7" s="10" t="n">
        <v>38</v>
      </c>
      <c r="F7" s="10" t="n">
        <v>0</v>
      </c>
      <c r="G7" s="11" t="n">
        <v>36</v>
      </c>
      <c r="H7" s="11" t="n">
        <v>8</v>
      </c>
    </row>
    <row r="8" ht="18" customHeight="1">
      <c r="A8" s="12" t="inlineStr">
        <is>
          <t>Arrepentidos</t>
        </is>
      </c>
      <c r="B8" s="13" t="inlineStr">
        <is>
          <t>#</t>
        </is>
      </c>
      <c r="C8" s="13" t="n">
        <v>6</v>
      </c>
      <c r="D8" s="13" t="n">
        <v>1</v>
      </c>
      <c r="E8" s="13" t="n">
        <v>9</v>
      </c>
      <c r="F8" s="13" t="n">
        <v>0</v>
      </c>
      <c r="G8" s="13" t="n">
        <v>0</v>
      </c>
      <c r="H8" s="13" t="n">
        <v>0</v>
      </c>
    </row>
    <row r="9" ht="18" customHeight="1">
      <c r="A9" s="7" t="inlineStr">
        <is>
          <t>% Arrepentidos</t>
        </is>
      </c>
      <c r="B9" s="8" t="inlineStr">
        <is>
          <t>%</t>
        </is>
      </c>
      <c r="C9" s="14" t="n">
        <v>0.1578947368421053</v>
      </c>
      <c r="D9" s="14" t="n">
        <v>0.1428571428571428</v>
      </c>
      <c r="E9" s="15" t="n">
        <v>0.1914893617021277</v>
      </c>
      <c r="F9" s="15" t="n">
        <v>0</v>
      </c>
      <c r="G9" s="16" t="n">
        <v>0</v>
      </c>
      <c r="H9" s="16" t="n">
        <v>0</v>
      </c>
    </row>
    <row r="10" ht="18" customHeight="1">
      <c r="A10" s="12" t="inlineStr">
        <is>
          <t>Tiempo Prom. Espera</t>
        </is>
      </c>
      <c r="B10" s="13" t="inlineStr">
        <is>
          <t>min</t>
        </is>
      </c>
      <c r="C10" s="17" t="n">
        <v>15.24498647488545</v>
      </c>
      <c r="D10" s="17" t="n">
        <v>4.781382063316542</v>
      </c>
      <c r="E10" s="17" t="n">
        <v>16.58682471134794</v>
      </c>
      <c r="F10" s="17" t="n">
        <v>0</v>
      </c>
      <c r="G10" s="17" t="n">
        <v>0.2082590319048197</v>
      </c>
      <c r="H10" s="17" t="n">
        <v>0</v>
      </c>
    </row>
    <row r="11" ht="18" customHeight="1">
      <c r="A11" s="7" t="inlineStr">
        <is>
          <t>Tiempo Prom. Sistema</t>
        </is>
      </c>
      <c r="B11" s="8" t="inlineStr">
        <is>
          <t>min</t>
        </is>
      </c>
      <c r="C11" s="18" t="n">
        <v>53.36177089747856</v>
      </c>
      <c r="D11" s="18" t="n">
        <v>77.90496430960907</v>
      </c>
      <c r="E11" s="19" t="n">
        <v>51.02029807485453</v>
      </c>
      <c r="F11" s="19" t="n">
        <v>0</v>
      </c>
      <c r="G11" s="20" t="n">
        <v>35.52827740841586</v>
      </c>
      <c r="H11" s="20" t="n">
        <v>90.1763305893295</v>
      </c>
    </row>
    <row r="12" ht="18" customHeight="1">
      <c r="A12" s="12" t="inlineStr">
        <is>
          <t>Ociosidad Prom. por Cargador</t>
        </is>
      </c>
      <c r="B12" s="13" t="inlineStr">
        <is>
          <t>%</t>
        </is>
      </c>
      <c r="C12" s="21" t="n">
        <v>0.1971017625990036</v>
      </c>
      <c r="D12" s="21" t="n">
        <v>0.6953184073071145</v>
      </c>
      <c r="E12" s="21" t="n">
        <v>0.1008626333414366</v>
      </c>
      <c r="F12" s="21" t="n">
        <v>0</v>
      </c>
      <c r="G12" s="21" t="n">
        <v>0.7056665135290746</v>
      </c>
      <c r="H12" s="21" t="n">
        <v>0.749510192807418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 ht="28" customHeight="1">
      <c r="A1" s="22" t="inlineStr">
        <is>
          <t>DETALLE POR ESCENARIO Y TIPO DE CARGADOR</t>
        </is>
      </c>
    </row>
    <row r="3" ht="20" customHeight="1">
      <c r="A3" s="23" t="inlineStr">
        <is>
          <t>ESCENARIO: REAL — CR:1 | CSR:1 | P(CR)=74%</t>
        </is>
      </c>
    </row>
    <row r="4" ht="18" customHeight="1">
      <c r="A4" s="24" t="inlineStr">
        <is>
          <t xml:space="preserve">  Cargadores Rápidos (CR)</t>
        </is>
      </c>
    </row>
    <row r="5" ht="16" customHeight="1">
      <c r="A5" s="25" t="inlineStr">
        <is>
          <t>Total llegadas</t>
        </is>
      </c>
      <c r="B5" s="8" t="n">
        <v>38</v>
      </c>
    </row>
    <row r="6" ht="16" customHeight="1">
      <c r="A6" s="26" t="inlineStr">
        <is>
          <t>Total atendidos</t>
        </is>
      </c>
      <c r="B6" s="13" t="n">
        <v>32</v>
      </c>
    </row>
    <row r="7" ht="16" customHeight="1">
      <c r="A7" s="25" t="inlineStr">
        <is>
          <t>Arrepentidos</t>
        </is>
      </c>
      <c r="B7" s="8" t="n">
        <v>6</v>
      </c>
    </row>
    <row r="8" ht="16" customHeight="1">
      <c r="A8" s="26" t="inlineStr">
        <is>
          <t>% Arrepentidos</t>
        </is>
      </c>
      <c r="B8" s="21" t="n">
        <v>0.1578947368421053</v>
      </c>
    </row>
    <row r="9" ht="16" customHeight="1">
      <c r="A9" s="25" t="inlineStr">
        <is>
          <t>Tiempo prom. espera (min)</t>
        </is>
      </c>
      <c r="B9" s="27" t="n">
        <v>15.24498647488545</v>
      </c>
    </row>
    <row r="10" ht="16" customHeight="1">
      <c r="A10" s="26" t="inlineStr">
        <is>
          <t>Tiempo prom. sistema (min)</t>
        </is>
      </c>
      <c r="B10" s="17" t="n">
        <v>53.36177089747856</v>
      </c>
    </row>
    <row r="11" ht="16" customHeight="1">
      <c r="A11" s="28" t="inlineStr">
        <is>
          <t>Ociosidad por cargador:</t>
        </is>
      </c>
    </row>
    <row r="12" ht="15" customHeight="1">
      <c r="A12" s="26" t="inlineStr">
        <is>
          <t xml:space="preserve">    CR[0]</t>
        </is>
      </c>
      <c r="B12" s="21" t="n">
        <v>0.1971017625990036</v>
      </c>
    </row>
    <row r="13" ht="18" customHeight="1">
      <c r="A13" s="24" t="inlineStr">
        <is>
          <t xml:space="preserve">  Cargadores Semi-Rápidos (CSR)</t>
        </is>
      </c>
    </row>
    <row r="14" ht="16" customHeight="1">
      <c r="A14" s="25" t="inlineStr">
        <is>
          <t>Total llegadas</t>
        </is>
      </c>
      <c r="B14" s="8" t="n">
        <v>7</v>
      </c>
    </row>
    <row r="15" ht="16" customHeight="1">
      <c r="A15" s="26" t="inlineStr">
        <is>
          <t>Total atendidos</t>
        </is>
      </c>
      <c r="B15" s="13" t="n">
        <v>6</v>
      </c>
    </row>
    <row r="16" ht="16" customHeight="1">
      <c r="A16" s="25" t="inlineStr">
        <is>
          <t>Arrepentidos</t>
        </is>
      </c>
      <c r="B16" s="8" t="n">
        <v>1</v>
      </c>
    </row>
    <row r="17" ht="16" customHeight="1">
      <c r="A17" s="26" t="inlineStr">
        <is>
          <t>% Arrepentidos</t>
        </is>
      </c>
      <c r="B17" s="21" t="n">
        <v>0.1428571428571428</v>
      </c>
    </row>
    <row r="18" ht="16" customHeight="1">
      <c r="A18" s="25" t="inlineStr">
        <is>
          <t>Tiempo prom. espera (min)</t>
        </is>
      </c>
      <c r="B18" s="27" t="n">
        <v>4.781382063316542</v>
      </c>
    </row>
    <row r="19" ht="16" customHeight="1">
      <c r="A19" s="26" t="inlineStr">
        <is>
          <t>Tiempo prom. sistema (min)</t>
        </is>
      </c>
      <c r="B19" s="17" t="n">
        <v>77.90496430960907</v>
      </c>
    </row>
    <row r="20" ht="16" customHeight="1">
      <c r="A20" s="28" t="inlineStr">
        <is>
          <t>Ociosidad por cargador:</t>
        </is>
      </c>
    </row>
    <row r="21" ht="15" customHeight="1">
      <c r="A21" s="26" t="inlineStr">
        <is>
          <t xml:space="preserve">    CSR[0]</t>
        </is>
      </c>
      <c r="B21" s="21" t="n">
        <v>0.6953184073071145</v>
      </c>
    </row>
    <row r="23" ht="20" customHeight="1">
      <c r="A23" s="29" t="inlineStr">
        <is>
          <t>ESCENARIO: EFICIENTE — CR:1 | CSR:0 | P(CR)=100%</t>
        </is>
      </c>
    </row>
    <row r="24" ht="18" customHeight="1">
      <c r="A24" s="30" t="inlineStr">
        <is>
          <t xml:space="preserve">  Cargadores Rápidos (CR)</t>
        </is>
      </c>
    </row>
    <row r="25" ht="16" customHeight="1">
      <c r="A25" s="25" t="inlineStr">
        <is>
          <t>Total llegadas</t>
        </is>
      </c>
      <c r="B25" s="8" t="n">
        <v>47</v>
      </c>
    </row>
    <row r="26" ht="16" customHeight="1">
      <c r="A26" s="26" t="inlineStr">
        <is>
          <t>Total atendidos</t>
        </is>
      </c>
      <c r="B26" s="13" t="n">
        <v>38</v>
      </c>
    </row>
    <row r="27" ht="16" customHeight="1">
      <c r="A27" s="25" t="inlineStr">
        <is>
          <t>Arrepentidos</t>
        </is>
      </c>
      <c r="B27" s="8" t="n">
        <v>9</v>
      </c>
    </row>
    <row r="28" ht="16" customHeight="1">
      <c r="A28" s="26" t="inlineStr">
        <is>
          <t>% Arrepentidos</t>
        </is>
      </c>
      <c r="B28" s="21" t="n">
        <v>0.1914893617021277</v>
      </c>
    </row>
    <row r="29" ht="16" customHeight="1">
      <c r="A29" s="25" t="inlineStr">
        <is>
          <t>Tiempo prom. espera (min)</t>
        </is>
      </c>
      <c r="B29" s="27" t="n">
        <v>16.58682471134794</v>
      </c>
    </row>
    <row r="30" ht="16" customHeight="1">
      <c r="A30" s="26" t="inlineStr">
        <is>
          <t>Tiempo prom. sistema (min)</t>
        </is>
      </c>
      <c r="B30" s="17" t="n">
        <v>51.02029807485453</v>
      </c>
    </row>
    <row r="31" ht="16" customHeight="1">
      <c r="A31" s="31" t="inlineStr">
        <is>
          <t>Ociosidad por cargador:</t>
        </is>
      </c>
    </row>
    <row r="32" ht="15" customHeight="1">
      <c r="A32" s="26" t="inlineStr">
        <is>
          <t xml:space="preserve">    CR[0]</t>
        </is>
      </c>
      <c r="B32" s="21" t="n">
        <v>0.1008626333414366</v>
      </c>
    </row>
    <row r="33" ht="18" customHeight="1">
      <c r="A33" s="30" t="inlineStr">
        <is>
          <t xml:space="preserve">  Cargadores Semi-Rápidos (CSR)</t>
        </is>
      </c>
    </row>
    <row r="34" ht="16" customHeight="1">
      <c r="A34" s="25" t="inlineStr">
        <is>
          <t>Total llegadas</t>
        </is>
      </c>
      <c r="B34" s="8" t="n">
        <v>0</v>
      </c>
    </row>
    <row r="35" ht="16" customHeight="1">
      <c r="A35" s="26" t="inlineStr">
        <is>
          <t>Total atendidos</t>
        </is>
      </c>
      <c r="B35" s="13" t="n">
        <v>0</v>
      </c>
    </row>
    <row r="36" ht="16" customHeight="1">
      <c r="A36" s="25" t="inlineStr">
        <is>
          <t>Arrepentidos</t>
        </is>
      </c>
      <c r="B36" s="8" t="n">
        <v>0</v>
      </c>
    </row>
    <row r="37" ht="16" customHeight="1">
      <c r="A37" s="26" t="inlineStr">
        <is>
          <t>% Arrepentidos</t>
        </is>
      </c>
      <c r="B37" s="21" t="n">
        <v>0</v>
      </c>
    </row>
    <row r="38" ht="16" customHeight="1">
      <c r="A38" s="25" t="inlineStr">
        <is>
          <t>Tiempo prom. espera (min)</t>
        </is>
      </c>
      <c r="B38" s="27" t="n">
        <v>0</v>
      </c>
    </row>
    <row r="39" ht="16" customHeight="1">
      <c r="A39" s="26" t="inlineStr">
        <is>
          <t>Tiempo prom. sistema (min)</t>
        </is>
      </c>
      <c r="B39" s="17" t="n">
        <v>0</v>
      </c>
    </row>
    <row r="40" ht="16" customHeight="1">
      <c r="A40" s="31" t="inlineStr">
        <is>
          <t>Ociosidad por cargador:</t>
        </is>
      </c>
    </row>
    <row r="42" ht="20" customHeight="1">
      <c r="A42" s="32" t="inlineStr">
        <is>
          <t>ESCENARIO: NO EFICIENTE — CR:3 | CSR:2 | P(CR)=74%</t>
        </is>
      </c>
    </row>
    <row r="43" ht="18" customHeight="1">
      <c r="A43" s="33" t="inlineStr">
        <is>
          <t xml:space="preserve">  Cargadores Rápidos (CR)</t>
        </is>
      </c>
    </row>
    <row r="44" ht="16" customHeight="1">
      <c r="A44" s="25" t="inlineStr">
        <is>
          <t>Total llegadas</t>
        </is>
      </c>
      <c r="B44" s="8" t="n">
        <v>36</v>
      </c>
    </row>
    <row r="45" ht="16" customHeight="1">
      <c r="A45" s="26" t="inlineStr">
        <is>
          <t>Total atendidos</t>
        </is>
      </c>
      <c r="B45" s="13" t="n">
        <v>36</v>
      </c>
    </row>
    <row r="46" ht="16" customHeight="1">
      <c r="A46" s="25" t="inlineStr">
        <is>
          <t>Arrepentidos</t>
        </is>
      </c>
      <c r="B46" s="8" t="n">
        <v>0</v>
      </c>
    </row>
    <row r="47" ht="16" customHeight="1">
      <c r="A47" s="26" t="inlineStr">
        <is>
          <t>% Arrepentidos</t>
        </is>
      </c>
      <c r="B47" s="21" t="n">
        <v>0</v>
      </c>
    </row>
    <row r="48" ht="16" customHeight="1">
      <c r="A48" s="25" t="inlineStr">
        <is>
          <t>Tiempo prom. espera (min)</t>
        </is>
      </c>
      <c r="B48" s="27" t="n">
        <v>0.2082590319048197</v>
      </c>
    </row>
    <row r="49" ht="16" customHeight="1">
      <c r="A49" s="26" t="inlineStr">
        <is>
          <t>Tiempo prom. sistema (min)</t>
        </is>
      </c>
      <c r="B49" s="17" t="n">
        <v>35.52827740841586</v>
      </c>
    </row>
    <row r="50" ht="16" customHeight="1">
      <c r="A50" s="34" t="inlineStr">
        <is>
          <t>Ociosidad por cargador:</t>
        </is>
      </c>
    </row>
    <row r="51" ht="15" customHeight="1">
      <c r="A51" s="26" t="inlineStr">
        <is>
          <t xml:space="preserve">    CR[0]</t>
        </is>
      </c>
      <c r="B51" s="21" t="n">
        <v>0.6942013044138778</v>
      </c>
    </row>
    <row r="52" ht="15" customHeight="1">
      <c r="A52" s="26" t="inlineStr">
        <is>
          <t xml:space="preserve">    CR[1]</t>
        </is>
      </c>
      <c r="B52" s="21" t="n">
        <v>0.723331686894721</v>
      </c>
    </row>
    <row r="53" ht="15" customHeight="1">
      <c r="A53" s="26" t="inlineStr">
        <is>
          <t xml:space="preserve">    CR[2]</t>
        </is>
      </c>
      <c r="B53" s="21" t="n">
        <v>0.6994665492786249</v>
      </c>
    </row>
    <row r="54" ht="18" customHeight="1">
      <c r="A54" s="33" t="inlineStr">
        <is>
          <t xml:space="preserve">  Cargadores Semi-Rápidos (CSR)</t>
        </is>
      </c>
    </row>
    <row r="55" ht="16" customHeight="1">
      <c r="A55" s="25" t="inlineStr">
        <is>
          <t>Total llegadas</t>
        </is>
      </c>
      <c r="B55" s="8" t="n">
        <v>8</v>
      </c>
    </row>
    <row r="56" ht="16" customHeight="1">
      <c r="A56" s="26" t="inlineStr">
        <is>
          <t>Total atendidos</t>
        </is>
      </c>
      <c r="B56" s="13" t="n">
        <v>8</v>
      </c>
    </row>
    <row r="57" ht="16" customHeight="1">
      <c r="A57" s="25" t="inlineStr">
        <is>
          <t>Arrepentidos</t>
        </is>
      </c>
      <c r="B57" s="8" t="n">
        <v>0</v>
      </c>
    </row>
    <row r="58" ht="16" customHeight="1">
      <c r="A58" s="26" t="inlineStr">
        <is>
          <t>% Arrepentidos</t>
        </is>
      </c>
      <c r="B58" s="21" t="n">
        <v>0</v>
      </c>
    </row>
    <row r="59" ht="16" customHeight="1">
      <c r="A59" s="25" t="inlineStr">
        <is>
          <t>Tiempo prom. espera (min)</t>
        </is>
      </c>
      <c r="B59" s="27" t="n">
        <v>0</v>
      </c>
    </row>
    <row r="60" ht="16" customHeight="1">
      <c r="A60" s="26" t="inlineStr">
        <is>
          <t>Tiempo prom. sistema (min)</t>
        </is>
      </c>
      <c r="B60" s="17" t="n">
        <v>90.1763305893295</v>
      </c>
    </row>
    <row r="61" ht="16" customHeight="1">
      <c r="A61" s="34" t="inlineStr">
        <is>
          <t>Ociosidad por cargador:</t>
        </is>
      </c>
    </row>
    <row r="62" ht="15" customHeight="1">
      <c r="A62" s="26" t="inlineStr">
        <is>
          <t xml:space="preserve">    CSR[0]</t>
        </is>
      </c>
      <c r="B62" s="21" t="n">
        <v>0.7180141104964668</v>
      </c>
    </row>
    <row r="63" ht="15" customHeight="1">
      <c r="A63" s="26" t="inlineStr">
        <is>
          <t xml:space="preserve">    CSR[1]</t>
        </is>
      </c>
      <c r="B63" s="21" t="n">
        <v>0.7810062751183695</v>
      </c>
    </row>
  </sheetData>
  <mergeCells count="52">
    <mergeCell ref="C39"/>
    <mergeCell ref="C8"/>
    <mergeCell ref="C48"/>
    <mergeCell ref="C17"/>
    <mergeCell ref="C7"/>
    <mergeCell ref="A3:C3"/>
    <mergeCell ref="C38"/>
    <mergeCell ref="B31:C31"/>
    <mergeCell ref="C28"/>
    <mergeCell ref="C19"/>
    <mergeCell ref="C37"/>
    <mergeCell ref="C57"/>
    <mergeCell ref="A42:C42"/>
    <mergeCell ref="A33:C33"/>
    <mergeCell ref="C18"/>
    <mergeCell ref="C49"/>
    <mergeCell ref="B11:C11"/>
    <mergeCell ref="A23:C23"/>
    <mergeCell ref="C34"/>
    <mergeCell ref="C30"/>
    <mergeCell ref="C15"/>
    <mergeCell ref="B61:C61"/>
    <mergeCell ref="C6"/>
    <mergeCell ref="C58"/>
    <mergeCell ref="C14"/>
    <mergeCell ref="A4:C4"/>
    <mergeCell ref="A43:C43"/>
    <mergeCell ref="C5"/>
    <mergeCell ref="C45"/>
    <mergeCell ref="A13:C13"/>
    <mergeCell ref="C35"/>
    <mergeCell ref="C26"/>
    <mergeCell ref="C29"/>
    <mergeCell ref="C25"/>
    <mergeCell ref="C10"/>
    <mergeCell ref="C16"/>
    <mergeCell ref="C47"/>
    <mergeCell ref="B40:C40"/>
    <mergeCell ref="C44"/>
    <mergeCell ref="A24:C24"/>
    <mergeCell ref="C9"/>
    <mergeCell ref="C55"/>
    <mergeCell ref="A1:C1"/>
    <mergeCell ref="C56"/>
    <mergeCell ref="B20:C20"/>
    <mergeCell ref="C59"/>
    <mergeCell ref="C46"/>
    <mergeCell ref="B50:C50"/>
    <mergeCell ref="C60"/>
    <mergeCell ref="C36"/>
    <mergeCell ref="C27"/>
    <mergeCell ref="A54:C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 ht="24" customHeight="1">
      <c r="A1" s="35" t="inlineStr">
        <is>
          <t>DATOS PARA GRÁFICOS COMPARATIVOS</t>
        </is>
      </c>
    </row>
    <row r="3" ht="20" customHeight="1">
      <c r="A3" s="36" t="inlineStr">
        <is>
          <t>% Arrepentidos</t>
        </is>
      </c>
    </row>
    <row r="4" ht="18" customHeight="1">
      <c r="A4" s="3" t="inlineStr">
        <is>
          <t>Escenario</t>
        </is>
      </c>
      <c r="B4" s="3" t="inlineStr">
        <is>
          <t>CR</t>
        </is>
      </c>
      <c r="C4" s="3" t="inlineStr">
        <is>
          <t>CSR</t>
        </is>
      </c>
    </row>
    <row r="5" ht="16" customHeight="1">
      <c r="A5" s="25" t="inlineStr">
        <is>
          <t>Real</t>
        </is>
      </c>
      <c r="B5" s="21" t="n">
        <v>0.1578947368421053</v>
      </c>
      <c r="C5" s="21" t="n">
        <v>0.1428571428571428</v>
      </c>
    </row>
    <row r="6" ht="16" customHeight="1">
      <c r="A6" s="25" t="inlineStr">
        <is>
          <t>Eficiente</t>
        </is>
      </c>
      <c r="B6" s="21" t="n">
        <v>0.1914893617021277</v>
      </c>
      <c r="C6" s="21" t="n">
        <v>0</v>
      </c>
    </row>
    <row r="7" ht="16" customHeight="1">
      <c r="A7" s="25" t="inlineStr">
        <is>
          <t>No eficiente</t>
        </is>
      </c>
      <c r="B7" s="21" t="n">
        <v>0</v>
      </c>
      <c r="C7" s="21" t="n">
        <v>0</v>
      </c>
    </row>
    <row r="10" ht="20" customHeight="1">
      <c r="A10" s="36" t="inlineStr">
        <is>
          <t>Tiempo Espera Prom (min)</t>
        </is>
      </c>
    </row>
    <row r="11" ht="18" customHeight="1">
      <c r="A11" s="3" t="inlineStr">
        <is>
          <t>Escenario</t>
        </is>
      </c>
      <c r="B11" s="3" t="inlineStr">
        <is>
          <t>CR</t>
        </is>
      </c>
      <c r="C11" s="3" t="inlineStr">
        <is>
          <t>CSR</t>
        </is>
      </c>
    </row>
    <row r="12" ht="16" customHeight="1">
      <c r="A12" s="25" t="inlineStr">
        <is>
          <t>Real</t>
        </is>
      </c>
      <c r="B12" s="17" t="n">
        <v>15.24498647488545</v>
      </c>
      <c r="C12" s="17" t="n">
        <v>4.781382063316542</v>
      </c>
    </row>
    <row r="13" ht="16" customHeight="1">
      <c r="A13" s="25" t="inlineStr">
        <is>
          <t>Eficiente</t>
        </is>
      </c>
      <c r="B13" s="17" t="n">
        <v>16.58682471134794</v>
      </c>
      <c r="C13" s="17" t="n">
        <v>0</v>
      </c>
    </row>
    <row r="14" ht="16" customHeight="1">
      <c r="A14" s="25" t="inlineStr">
        <is>
          <t>No eficiente</t>
        </is>
      </c>
      <c r="B14" s="17" t="n">
        <v>0.2082590319048197</v>
      </c>
      <c r="C14" s="17" t="n">
        <v>0</v>
      </c>
    </row>
    <row r="17" ht="20" customHeight="1">
      <c r="A17" s="36" t="inlineStr">
        <is>
          <t>Tiempo Sistema Prom (min)</t>
        </is>
      </c>
    </row>
    <row r="18" ht="18" customHeight="1">
      <c r="A18" s="3" t="inlineStr">
        <is>
          <t>Escenario</t>
        </is>
      </c>
      <c r="B18" s="3" t="inlineStr">
        <is>
          <t>CR</t>
        </is>
      </c>
      <c r="C18" s="3" t="inlineStr">
        <is>
          <t>CSR</t>
        </is>
      </c>
    </row>
    <row r="19" ht="16" customHeight="1">
      <c r="A19" s="25" t="inlineStr">
        <is>
          <t>Real</t>
        </is>
      </c>
      <c r="B19" s="17" t="n">
        <v>53.36177089747856</v>
      </c>
      <c r="C19" s="17" t="n">
        <v>77.90496430960907</v>
      </c>
    </row>
    <row r="20" ht="16" customHeight="1">
      <c r="A20" s="25" t="inlineStr">
        <is>
          <t>Eficiente</t>
        </is>
      </c>
      <c r="B20" s="17" t="n">
        <v>51.02029807485453</v>
      </c>
      <c r="C20" s="17" t="n">
        <v>0</v>
      </c>
    </row>
    <row r="21" ht="16" customHeight="1">
      <c r="A21" s="25" t="inlineStr">
        <is>
          <t>No eficiente</t>
        </is>
      </c>
      <c r="B21" s="17" t="n">
        <v>35.52827740841586</v>
      </c>
      <c r="C21" s="17" t="n">
        <v>90.1763305893295</v>
      </c>
    </row>
    <row r="24" ht="20" customHeight="1">
      <c r="A24" s="36" t="inlineStr">
        <is>
          <t>Ociosidad Prom por Cargador (%)</t>
        </is>
      </c>
    </row>
    <row r="25" ht="18" customHeight="1">
      <c r="A25" s="3" t="inlineStr">
        <is>
          <t>Escenario</t>
        </is>
      </c>
      <c r="B25" s="3" t="inlineStr">
        <is>
          <t>CR</t>
        </is>
      </c>
      <c r="C25" s="3" t="inlineStr">
        <is>
          <t>CSR</t>
        </is>
      </c>
    </row>
    <row r="26" ht="16" customHeight="1">
      <c r="A26" s="25" t="inlineStr">
        <is>
          <t>Real</t>
        </is>
      </c>
      <c r="B26" s="21" t="n">
        <v>0.1971017625990036</v>
      </c>
      <c r="C26" s="21" t="n">
        <v>0.6953184073071145</v>
      </c>
    </row>
    <row r="27" ht="16" customHeight="1">
      <c r="A27" s="25" t="inlineStr">
        <is>
          <t>Eficiente</t>
        </is>
      </c>
      <c r="B27" s="21" t="n">
        <v>0.1008626333414366</v>
      </c>
      <c r="C27" s="21" t="n">
        <v>0</v>
      </c>
    </row>
    <row r="28" ht="16" customHeight="1">
      <c r="A28" s="25" t="inlineStr">
        <is>
          <t>No eficiente</t>
        </is>
      </c>
      <c r="B28" s="21" t="n">
        <v>0.7056665135290746</v>
      </c>
      <c r="C28" s="21" t="n">
        <v>0.749510192807418</v>
      </c>
    </row>
  </sheetData>
  <mergeCells count="5">
    <mergeCell ref="A1:G1"/>
    <mergeCell ref="A17:G17"/>
    <mergeCell ref="A3:G3"/>
    <mergeCell ref="A24:G24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0" workbookViewId="0">
      <selection activeCell="A1" sqref="A1"/>
    </sheetView>
  </sheetViews>
  <sheetFormatPr baseColWidth="8" defaultRowHeight="15"/>
  <sheetData>
    <row r="1" ht="28" customHeight="1">
      <c r="A1" s="22" t="inlineStr">
        <is>
          <t>GRÁFICOS COMPARATIVOS POR ESCENARIO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2026-04-28T01:19:08Z</dcterms:created>
  <dcterms:modified xsi:type="dcterms:W3CDTF">2026-04-28T01:19:08Z</dcterms:modified>
</cp:coreProperties>
</file>